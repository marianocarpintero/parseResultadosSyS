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yoffice.accenture.com/personal/mariano_carpintero_accenture_com/Documents/Documents/GitProjects/parseResultadosSyS/Docs/"/>
    </mc:Choice>
  </mc:AlternateContent>
  <xr:revisionPtr revIDLastSave="325" documentId="8_{115A196B-62E8-4772-988C-1EA78B03BBE2}" xr6:coauthVersionLast="47" xr6:coauthVersionMax="47" xr10:uidLastSave="{5D91C09F-CC47-41D8-A872-869BEFF44075}"/>
  <bookViews>
    <workbookView xWindow="-120" yWindow="-120" windowWidth="29040" windowHeight="17520" xr2:uid="{6181DEB8-90EE-47C0-869A-F863C5CE917F}"/>
  </bookViews>
  <sheets>
    <sheet name="Sheet2" sheetId="3" r:id="rId1"/>
    <sheet name="Canonical" sheetId="2" r:id="rId2"/>
  </sheets>
  <definedNames>
    <definedName name="ExternalData_1" localSheetId="1" hidden="1">'Canonical'!$A$1:$F$240</definedName>
  </definedNames>
  <calcPr calcId="191029"/>
  <pivotCaches>
    <pivotCache cacheId="16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6" i="2"/>
  <c r="G8" i="2"/>
  <c r="G2" i="2"/>
  <c r="G5" i="2"/>
  <c r="G7" i="2"/>
  <c r="G4" i="2"/>
  <c r="G18" i="2"/>
  <c r="G24" i="2"/>
  <c r="G15" i="2"/>
  <c r="G19" i="2"/>
  <c r="G25" i="2"/>
  <c r="G31" i="2"/>
  <c r="G12" i="2"/>
  <c r="G9" i="2"/>
  <c r="G10" i="2"/>
  <c r="G14" i="2"/>
  <c r="G20" i="2"/>
  <c r="G22" i="2"/>
  <c r="G13" i="2"/>
  <c r="G28" i="2"/>
  <c r="G23" i="2"/>
  <c r="G16" i="2"/>
  <c r="G30" i="2"/>
  <c r="G26" i="2"/>
  <c r="G29" i="2"/>
  <c r="G11" i="2"/>
  <c r="G27" i="2"/>
  <c r="G17" i="2"/>
  <c r="G21" i="2"/>
  <c r="G53" i="2"/>
  <c r="G32" i="2"/>
  <c r="G57" i="2"/>
  <c r="G39" i="2"/>
  <c r="G37" i="2"/>
  <c r="G33" i="2"/>
  <c r="G47" i="2"/>
  <c r="G34" i="2"/>
  <c r="G42" i="2"/>
  <c r="G60" i="2"/>
  <c r="G48" i="2"/>
  <c r="G36" i="2"/>
  <c r="G43" i="2"/>
  <c r="G58" i="2"/>
  <c r="G59" i="2"/>
  <c r="G54" i="2"/>
  <c r="G38" i="2"/>
  <c r="G41" i="2"/>
  <c r="G56" i="2"/>
  <c r="G40" i="2"/>
  <c r="G52" i="2"/>
  <c r="G50" i="2"/>
  <c r="G46" i="2"/>
  <c r="G45" i="2"/>
  <c r="G44" i="2"/>
  <c r="G55" i="2"/>
  <c r="G51" i="2"/>
  <c r="G49" i="2"/>
  <c r="G35" i="2"/>
  <c r="G80" i="2"/>
  <c r="G84" i="2"/>
  <c r="G85" i="2"/>
  <c r="G63" i="2"/>
  <c r="G68" i="2"/>
  <c r="G66" i="2"/>
  <c r="G64" i="2"/>
  <c r="G61" i="2"/>
  <c r="G67" i="2"/>
  <c r="G65" i="2"/>
  <c r="G62" i="2"/>
  <c r="G78" i="2"/>
  <c r="G74" i="2"/>
  <c r="G73" i="2"/>
  <c r="G71" i="2"/>
  <c r="G72" i="2"/>
  <c r="G77" i="2"/>
  <c r="G82" i="2"/>
  <c r="G87" i="2"/>
  <c r="G79" i="2"/>
  <c r="G83" i="2"/>
  <c r="G76" i="2"/>
  <c r="G86" i="2"/>
  <c r="G69" i="2"/>
  <c r="G88" i="2"/>
  <c r="G70" i="2"/>
  <c r="G81" i="2"/>
  <c r="G75" i="2"/>
  <c r="G89" i="2"/>
  <c r="G90" i="2"/>
  <c r="G93" i="2"/>
  <c r="G92" i="2"/>
  <c r="G94" i="2"/>
  <c r="G91" i="2"/>
  <c r="G101" i="2"/>
  <c r="G97" i="2"/>
  <c r="G96" i="2"/>
  <c r="G99" i="2"/>
  <c r="G105" i="2"/>
  <c r="G103" i="2"/>
  <c r="G95" i="2"/>
  <c r="G98" i="2"/>
  <c r="G100" i="2"/>
  <c r="G104" i="2"/>
  <c r="G102" i="2"/>
  <c r="G112" i="2"/>
  <c r="G107" i="2"/>
  <c r="G111" i="2"/>
  <c r="G108" i="2"/>
  <c r="G109" i="2"/>
  <c r="G106" i="2"/>
  <c r="G110" i="2"/>
  <c r="G116" i="2"/>
  <c r="G114" i="2"/>
  <c r="G115" i="2"/>
  <c r="G113" i="2"/>
  <c r="G117" i="2"/>
  <c r="G118" i="2"/>
  <c r="G119" i="2"/>
  <c r="G121" i="2"/>
  <c r="G120" i="2"/>
  <c r="G123" i="2"/>
  <c r="G122" i="2"/>
  <c r="G127" i="2"/>
  <c r="G124" i="2"/>
  <c r="G126" i="2"/>
  <c r="G125" i="2"/>
  <c r="G131" i="2"/>
  <c r="G129" i="2"/>
  <c r="G132" i="2"/>
  <c r="G134" i="2"/>
  <c r="G128" i="2"/>
  <c r="G133" i="2"/>
  <c r="G136" i="2"/>
  <c r="G135" i="2"/>
  <c r="G130" i="2"/>
  <c r="G137" i="2"/>
  <c r="G143" i="2"/>
  <c r="G148" i="2"/>
  <c r="G140" i="2"/>
  <c r="G144" i="2"/>
  <c r="G145" i="2"/>
  <c r="G147" i="2"/>
  <c r="G139" i="2"/>
  <c r="G142" i="2"/>
  <c r="G138" i="2"/>
  <c r="G141" i="2"/>
  <c r="G151" i="2"/>
  <c r="G150" i="2"/>
  <c r="G149" i="2"/>
  <c r="G146" i="2"/>
  <c r="G152" i="2"/>
  <c r="G155" i="2"/>
  <c r="G164" i="2"/>
  <c r="G161" i="2"/>
  <c r="G156" i="2"/>
  <c r="G163" i="2"/>
  <c r="G159" i="2"/>
  <c r="G165" i="2"/>
  <c r="G158" i="2"/>
  <c r="G153" i="2"/>
  <c r="G160" i="2"/>
  <c r="G166" i="2"/>
  <c r="G157" i="2"/>
  <c r="G154" i="2"/>
  <c r="G162" i="2"/>
  <c r="G168" i="2"/>
  <c r="G167" i="2"/>
  <c r="G169" i="2"/>
  <c r="G173" i="2"/>
  <c r="G175" i="2"/>
  <c r="G172" i="2"/>
  <c r="G170" i="2"/>
  <c r="G171" i="2"/>
  <c r="G174" i="2"/>
  <c r="G181" i="2"/>
  <c r="G179" i="2"/>
  <c r="G177" i="2"/>
  <c r="G180" i="2"/>
  <c r="G178" i="2"/>
  <c r="G176" i="2"/>
  <c r="G199" i="2"/>
  <c r="G200" i="2"/>
  <c r="G205" i="2"/>
  <c r="G207" i="2"/>
  <c r="G211" i="2"/>
  <c r="G197" i="2"/>
  <c r="G201" i="2"/>
  <c r="G202" i="2"/>
  <c r="G196" i="2"/>
  <c r="G206" i="2"/>
  <c r="G212" i="2"/>
  <c r="G213" i="2"/>
  <c r="G183" i="2"/>
  <c r="G193" i="2"/>
  <c r="G195" i="2"/>
  <c r="G182" i="2"/>
  <c r="G192" i="2"/>
  <c r="G208" i="2"/>
  <c r="G204" i="2"/>
  <c r="G194" i="2"/>
  <c r="G191" i="2"/>
  <c r="G214" i="2"/>
  <c r="G209" i="2"/>
  <c r="G203" i="2"/>
  <c r="G198" i="2"/>
  <c r="G210" i="2"/>
  <c r="G216" i="2"/>
  <c r="G215" i="2"/>
  <c r="G184" i="2"/>
  <c r="G190" i="2"/>
  <c r="G188" i="2"/>
  <c r="G186" i="2"/>
  <c r="G189" i="2"/>
  <c r="G187" i="2"/>
  <c r="G185" i="2"/>
  <c r="G220" i="2"/>
  <c r="G222" i="2"/>
  <c r="G218" i="2"/>
  <c r="G217" i="2"/>
  <c r="G219" i="2"/>
  <c r="G221" i="2"/>
  <c r="G237" i="2"/>
  <c r="G232" i="2"/>
  <c r="G236" i="2"/>
  <c r="G231" i="2"/>
  <c r="G224" i="2"/>
  <c r="G226" i="2"/>
  <c r="G228" i="2"/>
  <c r="G225" i="2"/>
  <c r="G235" i="2"/>
  <c r="G227" i="2"/>
  <c r="G239" i="2"/>
  <c r="G230" i="2"/>
  <c r="G238" i="2"/>
  <c r="G234" i="2"/>
  <c r="G233" i="2"/>
  <c r="G240" i="2"/>
  <c r="G223" i="2"/>
  <c r="G229" i="2"/>
  <c r="H3" i="2"/>
  <c r="H6" i="2"/>
  <c r="H8" i="2"/>
  <c r="H2" i="2"/>
  <c r="H5" i="2"/>
  <c r="H7" i="2"/>
  <c r="H4" i="2"/>
  <c r="H18" i="2"/>
  <c r="H24" i="2"/>
  <c r="H15" i="2"/>
  <c r="H19" i="2"/>
  <c r="H25" i="2"/>
  <c r="H31" i="2"/>
  <c r="H12" i="2"/>
  <c r="H9" i="2"/>
  <c r="H10" i="2"/>
  <c r="H14" i="2"/>
  <c r="H20" i="2"/>
  <c r="H22" i="2"/>
  <c r="H13" i="2"/>
  <c r="H28" i="2"/>
  <c r="H23" i="2"/>
  <c r="H16" i="2"/>
  <c r="H30" i="2"/>
  <c r="H26" i="2"/>
  <c r="H29" i="2"/>
  <c r="H11" i="2"/>
  <c r="H27" i="2"/>
  <c r="H17" i="2"/>
  <c r="H21" i="2"/>
  <c r="H53" i="2"/>
  <c r="H32" i="2"/>
  <c r="H57" i="2"/>
  <c r="H39" i="2"/>
  <c r="H37" i="2"/>
  <c r="H33" i="2"/>
  <c r="H47" i="2"/>
  <c r="H34" i="2"/>
  <c r="H42" i="2"/>
  <c r="H60" i="2"/>
  <c r="H48" i="2"/>
  <c r="H36" i="2"/>
  <c r="H43" i="2"/>
  <c r="H58" i="2"/>
  <c r="H59" i="2"/>
  <c r="H54" i="2"/>
  <c r="H38" i="2"/>
  <c r="H41" i="2"/>
  <c r="H56" i="2"/>
  <c r="H40" i="2"/>
  <c r="H52" i="2"/>
  <c r="H50" i="2"/>
  <c r="H46" i="2"/>
  <c r="H45" i="2"/>
  <c r="H44" i="2"/>
  <c r="H55" i="2"/>
  <c r="H51" i="2"/>
  <c r="H49" i="2"/>
  <c r="H35" i="2"/>
  <c r="H80" i="2"/>
  <c r="H84" i="2"/>
  <c r="H85" i="2"/>
  <c r="H63" i="2"/>
  <c r="H68" i="2"/>
  <c r="H66" i="2"/>
  <c r="H64" i="2"/>
  <c r="H61" i="2"/>
  <c r="H67" i="2"/>
  <c r="H65" i="2"/>
  <c r="H62" i="2"/>
  <c r="H78" i="2"/>
  <c r="H74" i="2"/>
  <c r="H73" i="2"/>
  <c r="H71" i="2"/>
  <c r="H72" i="2"/>
  <c r="H77" i="2"/>
  <c r="H82" i="2"/>
  <c r="H87" i="2"/>
  <c r="H79" i="2"/>
  <c r="H83" i="2"/>
  <c r="H76" i="2"/>
  <c r="H86" i="2"/>
  <c r="H69" i="2"/>
  <c r="H88" i="2"/>
  <c r="H70" i="2"/>
  <c r="H81" i="2"/>
  <c r="H75" i="2"/>
  <c r="H89" i="2"/>
  <c r="H90" i="2"/>
  <c r="H93" i="2"/>
  <c r="H92" i="2"/>
  <c r="H94" i="2"/>
  <c r="H91" i="2"/>
  <c r="H101" i="2"/>
  <c r="H97" i="2"/>
  <c r="H96" i="2"/>
  <c r="H99" i="2"/>
  <c r="H105" i="2"/>
  <c r="H103" i="2"/>
  <c r="H95" i="2"/>
  <c r="H98" i="2"/>
  <c r="H100" i="2"/>
  <c r="H104" i="2"/>
  <c r="H102" i="2"/>
  <c r="H112" i="2"/>
  <c r="H107" i="2"/>
  <c r="H111" i="2"/>
  <c r="H108" i="2"/>
  <c r="H109" i="2"/>
  <c r="H106" i="2"/>
  <c r="H110" i="2"/>
  <c r="H116" i="2"/>
  <c r="H114" i="2"/>
  <c r="H115" i="2"/>
  <c r="H113" i="2"/>
  <c r="H117" i="2"/>
  <c r="H118" i="2"/>
  <c r="H119" i="2"/>
  <c r="H121" i="2"/>
  <c r="H120" i="2"/>
  <c r="H123" i="2"/>
  <c r="H122" i="2"/>
  <c r="H127" i="2"/>
  <c r="H124" i="2"/>
  <c r="H126" i="2"/>
  <c r="H125" i="2"/>
  <c r="H131" i="2"/>
  <c r="H129" i="2"/>
  <c r="H132" i="2"/>
  <c r="H134" i="2"/>
  <c r="H128" i="2"/>
  <c r="H133" i="2"/>
  <c r="H136" i="2"/>
  <c r="H135" i="2"/>
  <c r="H130" i="2"/>
  <c r="H137" i="2"/>
  <c r="H143" i="2"/>
  <c r="H148" i="2"/>
  <c r="H140" i="2"/>
  <c r="H144" i="2"/>
  <c r="H145" i="2"/>
  <c r="H147" i="2"/>
  <c r="H139" i="2"/>
  <c r="H142" i="2"/>
  <c r="H138" i="2"/>
  <c r="H141" i="2"/>
  <c r="H151" i="2"/>
  <c r="H150" i="2"/>
  <c r="H149" i="2"/>
  <c r="H146" i="2"/>
  <c r="H152" i="2"/>
  <c r="H155" i="2"/>
  <c r="H164" i="2"/>
  <c r="H161" i="2"/>
  <c r="H156" i="2"/>
  <c r="H163" i="2"/>
  <c r="H159" i="2"/>
  <c r="H165" i="2"/>
  <c r="H158" i="2"/>
  <c r="H153" i="2"/>
  <c r="H160" i="2"/>
  <c r="H166" i="2"/>
  <c r="H157" i="2"/>
  <c r="H154" i="2"/>
  <c r="H162" i="2"/>
  <c r="H168" i="2"/>
  <c r="H167" i="2"/>
  <c r="H169" i="2"/>
  <c r="H173" i="2"/>
  <c r="H175" i="2"/>
  <c r="H172" i="2"/>
  <c r="H170" i="2"/>
  <c r="H171" i="2"/>
  <c r="H174" i="2"/>
  <c r="H181" i="2"/>
  <c r="H179" i="2"/>
  <c r="H177" i="2"/>
  <c r="H180" i="2"/>
  <c r="H178" i="2"/>
  <c r="H176" i="2"/>
  <c r="H199" i="2"/>
  <c r="H200" i="2"/>
  <c r="H205" i="2"/>
  <c r="H207" i="2"/>
  <c r="H211" i="2"/>
  <c r="H197" i="2"/>
  <c r="H201" i="2"/>
  <c r="H202" i="2"/>
  <c r="H196" i="2"/>
  <c r="H206" i="2"/>
  <c r="H212" i="2"/>
  <c r="H213" i="2"/>
  <c r="H183" i="2"/>
  <c r="H193" i="2"/>
  <c r="H195" i="2"/>
  <c r="H182" i="2"/>
  <c r="H192" i="2"/>
  <c r="H208" i="2"/>
  <c r="H204" i="2"/>
  <c r="H194" i="2"/>
  <c r="H191" i="2"/>
  <c r="H214" i="2"/>
  <c r="H209" i="2"/>
  <c r="H203" i="2"/>
  <c r="H198" i="2"/>
  <c r="H210" i="2"/>
  <c r="H216" i="2"/>
  <c r="H215" i="2"/>
  <c r="H184" i="2"/>
  <c r="H190" i="2"/>
  <c r="H188" i="2"/>
  <c r="H186" i="2"/>
  <c r="H189" i="2"/>
  <c r="H187" i="2"/>
  <c r="H185" i="2"/>
  <c r="H220" i="2"/>
  <c r="H222" i="2"/>
  <c r="H218" i="2"/>
  <c r="H217" i="2"/>
  <c r="H219" i="2"/>
  <c r="H221" i="2"/>
  <c r="H237" i="2"/>
  <c r="H232" i="2"/>
  <c r="H236" i="2"/>
  <c r="H231" i="2"/>
  <c r="H224" i="2"/>
  <c r="H226" i="2"/>
  <c r="H228" i="2"/>
  <c r="H225" i="2"/>
  <c r="H235" i="2"/>
  <c r="H227" i="2"/>
  <c r="H239" i="2"/>
  <c r="H230" i="2"/>
  <c r="H238" i="2"/>
  <c r="H234" i="2"/>
  <c r="H233" i="2"/>
  <c r="H240" i="2"/>
  <c r="H223" i="2"/>
  <c r="H229" i="2"/>
  <c r="F40" i="3"/>
  <c r="F39" i="3"/>
  <c r="F38" i="3"/>
  <c r="F37" i="3"/>
  <c r="D39" i="3"/>
  <c r="D38" i="3"/>
  <c r="D40" i="3"/>
  <c r="D37" i="3"/>
  <c r="F41" i="3" l="1"/>
  <c r="D4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CCCF78A-7467-4D58-87AB-C5CF5901BFA5}" keepAlive="1" name="Query - Canonical" description="Connection to the 'Canonical' query in the workbook." type="5" refreshedVersion="8" background="1" saveData="1">
    <dbPr connection="Provider=Microsoft.Mashup.OleDb.1;Data Source=$Workbook$;Location=Canonical;Extended Properties=&quot;&quot;" command="SELECT * FROM [Canonical]"/>
  </connection>
</connections>
</file>

<file path=xl/sharedStrings.xml><?xml version="1.0" encoding="utf-8"?>
<sst xmlns="http://schemas.openxmlformats.org/spreadsheetml/2006/main" count="1713" uniqueCount="350">
  <si>
    <t>Column1.id</t>
  </si>
  <si>
    <t>Column1.base</t>
  </si>
  <si>
    <t>Column1.sex</t>
  </si>
  <si>
    <t>Column1.category</t>
  </si>
  <si>
    <t>Column1.distance_m</t>
  </si>
  <si>
    <t>Column1.discipline</t>
  </si>
  <si>
    <t>F</t>
  </si>
  <si>
    <t>Natación con Obstáculos</t>
  </si>
  <si>
    <t>M</t>
  </si>
  <si>
    <t>Socorrista</t>
  </si>
  <si>
    <t>Remolque de Maniquí</t>
  </si>
  <si>
    <t>Remolque de Maniquí con Aletas</t>
  </si>
  <si>
    <t>100 m Natación con Obstáculos</t>
  </si>
  <si>
    <t>100 m Socorrista</t>
  </si>
  <si>
    <t>50 m Remolque de Maniquí</t>
  </si>
  <si>
    <t>100 m Remolque de Maniquí con Aletas</t>
  </si>
  <si>
    <t>e_100_m_natacion_con_obstaculos_master_55_59_m</t>
  </si>
  <si>
    <t>Máster 55-59</t>
  </si>
  <si>
    <t>4x25</t>
  </si>
  <si>
    <t>Relevo Natación con Obstáculos</t>
  </si>
  <si>
    <t>Relevo Remolque de Maniquí</t>
  </si>
  <si>
    <t>Relevo Combinado</t>
  </si>
  <si>
    <t>Máster 30-34</t>
  </si>
  <si>
    <t>Máster 35-39</t>
  </si>
  <si>
    <t>Máster 50-54</t>
  </si>
  <si>
    <t>Máster 40-44</t>
  </si>
  <si>
    <t>Máster 45-49</t>
  </si>
  <si>
    <t>Máster 60-64</t>
  </si>
  <si>
    <t>Lanzamiento de Cuerda</t>
  </si>
  <si>
    <t>4x50 m Relevo Natación con Obstáculos</t>
  </si>
  <si>
    <t>Máster R4 +170</t>
  </si>
  <si>
    <t>4x50</t>
  </si>
  <si>
    <t>Máster R4 +200</t>
  </si>
  <si>
    <t>Máster R4 +140</t>
  </si>
  <si>
    <t>Máster R4 +230</t>
  </si>
  <si>
    <t>4x25 m Relevo Remolque de Maniquí</t>
  </si>
  <si>
    <t>4x50 m Relevo Combinado</t>
  </si>
  <si>
    <t>100</t>
  </si>
  <si>
    <t>50</t>
  </si>
  <si>
    <t>Duplicates</t>
  </si>
  <si>
    <t>Concatenate</t>
  </si>
  <si>
    <t>Row Labels</t>
  </si>
  <si>
    <t>Grand Total</t>
  </si>
  <si>
    <t>(blank)</t>
  </si>
  <si>
    <t>Disciplina</t>
  </si>
  <si>
    <t>Base</t>
  </si>
  <si>
    <t>Categoría</t>
  </si>
  <si>
    <t>Distancia</t>
  </si>
  <si>
    <t>e_100_m_natacion_con_obstaculos_master_60_64_m</t>
  </si>
  <si>
    <t>e_100_m_natacion_con_obstaculos_master_55_59_f</t>
  </si>
  <si>
    <t>e_100_m_socorrista_master_50_54_f</t>
  </si>
  <si>
    <t>e_100_m_socorrista_master_55_59_f</t>
  </si>
  <si>
    <t>e_100_m_socorrista_master_30_34_f</t>
  </si>
  <si>
    <t>e_100_m_socorrista_master_60_64_m</t>
  </si>
  <si>
    <t>e_100_m_socorrista_master_45_49_m</t>
  </si>
  <si>
    <t>e_100_m_socorrista_master_40_44_m</t>
  </si>
  <si>
    <t>e_100_m_socorrista_master_50_54_m</t>
  </si>
  <si>
    <t>e_100_m_socorrista_master_55_59_m</t>
  </si>
  <si>
    <t>e_4x50_m_relevo_combinado_master_r4_170_m</t>
  </si>
  <si>
    <t>e_4x50_m_relevo_natacion_con_obstaculos_master_r4_230_m</t>
  </si>
  <si>
    <t>e_lanzamiento_de_cuerda_master_55_59_f</t>
  </si>
  <si>
    <t>e_lanzamiento_de_cuerda_master_50_54_f</t>
  </si>
  <si>
    <t>e_lanzamiento_de_cuerda_master_45_49_m</t>
  </si>
  <si>
    <t>e_lanzamiento_de_cuerda_master_30_34_f</t>
  </si>
  <si>
    <t>e_lanzamiento_de_cuerda_master_45_49_f</t>
  </si>
  <si>
    <t>e_lanzamiento_de_cuerda_master_30_34_m</t>
  </si>
  <si>
    <t>e_lanzamiento_de_cuerda_master_50_54_m</t>
  </si>
  <si>
    <t>e_lanzamiento_de_cuerda_master_40_44_m</t>
  </si>
  <si>
    <t>e_lanzamiento_de_cuerda_master_55_59_m</t>
  </si>
  <si>
    <t>e_100_m_remolque_de_maniqui_con_aletas_master_55_59_m</t>
  </si>
  <si>
    <t>e_100_m_remolque_de_maniqui_con_aletas_master_50_54_m</t>
  </si>
  <si>
    <t>e_100_m_remolque_de_maniqui_con_aletas_master_55_59_f</t>
  </si>
  <si>
    <t>e_100_m_remolque_de_maniqui_con_aletas_master_50_54_f</t>
  </si>
  <si>
    <t>e_100_m_remolque_de_maniqui_con_aletas_master_30_34_f</t>
  </si>
  <si>
    <t>e_100_m_remolque_de_maniqui_con_aletas_master_60_64_m</t>
  </si>
  <si>
    <t>e_100_m_remolque_de_maniqui_con_aletas_master_45_49_m</t>
  </si>
  <si>
    <t>e_100_m_remolque_de_maniqui_con_aletas_master_40_44_m</t>
  </si>
  <si>
    <t>e_4x25_m_relevo_remolque_de_maniqui_master_r4_200_f</t>
  </si>
  <si>
    <t>e_4x25_m_relevo_remolque_de_maniqui_master_r4_170_m</t>
  </si>
  <si>
    <t>e_4x25_m_relevo_remolque_de_maniqui_master_r4_200_m</t>
  </si>
  <si>
    <t>e_50_m_remolque_de_maniqui_master_45_49_m</t>
  </si>
  <si>
    <t>e_50_m_remolque_de_maniqui_master_30_34_m</t>
  </si>
  <si>
    <t>e_50_m_remolque_de_maniqui_master_55_59_m</t>
  </si>
  <si>
    <t>e_50_m_remolque_de_maniqui_master_50_54_m</t>
  </si>
  <si>
    <t>e_50_m_remolque_de_maniqui_master_40_44_m</t>
  </si>
  <si>
    <t>e_50_m_remolque_de_maniqui_master_50_54_f</t>
  </si>
  <si>
    <t>e_50_m_remolque_de_maniqui_master_55_59_f</t>
  </si>
  <si>
    <t>e_50_m_remolque_de_maniqui_master_30_34_f</t>
  </si>
  <si>
    <t>e_100_m_remolque_de_maniqui_con_aletas_master_30_34_m</t>
  </si>
  <si>
    <t>e_100_m_socorrista_master_30_34_m</t>
  </si>
  <si>
    <t>e_100_m_socorrista_master_45_49_f</t>
  </si>
  <si>
    <t>e_4x25_m_relevo_remolque_de_maniqui_master_r4_170_f</t>
  </si>
  <si>
    <t>e_4x50_m_relevo_combinado_master_r4_170_f</t>
  </si>
  <si>
    <t>e_4x50_m_relevo_natacion_con_obstaculos_master_r4_170_m</t>
  </si>
  <si>
    <t>e_lanzamiento_de_cuerda_master_35_39_m</t>
  </si>
  <si>
    <t>e_100_m_natacion_con_obstaculos_master_70_74_m</t>
  </si>
  <si>
    <t>Máster 70-74</t>
  </si>
  <si>
    <t>e_100_m_natacion_con_obstaculos_master_45_49_f</t>
  </si>
  <si>
    <t>e_100_m_natacion_con_obstaculos_master_35_39_f</t>
  </si>
  <si>
    <t>e_100_m_natacion_con_obstaculos_master_30_34_f</t>
  </si>
  <si>
    <t>e_100_m_natacion_con_obstaculos_master_50_54_f</t>
  </si>
  <si>
    <t>e_100_m_natacion_con_obstaculos_master_30_34_m</t>
  </si>
  <si>
    <t>e_100_m_natacion_con_obstaculos_master_35_39_m</t>
  </si>
  <si>
    <t>e_100_m_natacion_con_obstaculos_master_45_49_m</t>
  </si>
  <si>
    <t>e_100_m_natacion_con_obstaculos_master_50_54_m</t>
  </si>
  <si>
    <t>e_100_m_remolque_de_maniqui_con_aletas_master_70_74_m</t>
  </si>
  <si>
    <t>e_100_m_remolque_de_maniqui_con_aletas_master_35_39_f</t>
  </si>
  <si>
    <t>e_100_m_remolque_de_maniqui_con_aletas_master_35_39_m</t>
  </si>
  <si>
    <t>e_100_m_remolque_de_maniqui_con_aletas_master_45_49_f</t>
  </si>
  <si>
    <t>e_100_m_socorrista_master_70_74_m</t>
  </si>
  <si>
    <t>e_100_m_socorrista_master_35_39_m</t>
  </si>
  <si>
    <t>e_100_m_socorrista_master_35_39_f</t>
  </si>
  <si>
    <t>e_4x25_m_relevo_remolque_de_maniqui_master_r4_120_m</t>
  </si>
  <si>
    <t>Máster R4 +120</t>
  </si>
  <si>
    <t>e_4x25_m_relevo_remolque_de_maniqui_master_r4_140_m</t>
  </si>
  <si>
    <t>e_4x25_m_relevo_remolque_de_maniqui_master_r4_120_f</t>
  </si>
  <si>
    <t>e_4x25_m_relevo_remolque_de_maniqui_master_r4_230_m</t>
  </si>
  <si>
    <t>e_4x50_m_relevo_combinado_master_r4_120_f</t>
  </si>
  <si>
    <t>e_4x50_m_relevo_combinado_master_r4_120_m</t>
  </si>
  <si>
    <t>e_4x50_m_relevo_combinado_master_r4_200_f</t>
  </si>
  <si>
    <t>e_4x50_m_relevo_combinado_master_r4_140_m</t>
  </si>
  <si>
    <t>e_4x50_m_relevo_combinado_master_r4_200_m</t>
  </si>
  <si>
    <t>e_4x50_m_relevo_combinado_master_r4_230_m</t>
  </si>
  <si>
    <t>e_4x50_m_relevo_natacion_con_obstaculos_master_r4_200_m</t>
  </si>
  <si>
    <t>e_4x50_m_relevo_natacion_con_obstaculos_master_r4_120_m</t>
  </si>
  <si>
    <t>e_4x50_m_relevo_natacion_con_obstaculos_master_r4_200_f</t>
  </si>
  <si>
    <t>e_4x50_m_relevo_natacion_con_obstaculos_master_r4_120_f</t>
  </si>
  <si>
    <t>e_4x50_m_relevo_natacion_con_obstaculos_master_r4_140_m</t>
  </si>
  <si>
    <t>e_50_m_remolque_de_maniqui_master_35_39_m</t>
  </si>
  <si>
    <t>e_50_m_remolque_de_maniqui_master_35_39_f</t>
  </si>
  <si>
    <t>e_50_m_remolque_de_maniqui_master_60_64_m</t>
  </si>
  <si>
    <t>e_50_m_remolque_de_maniqui_master_45_49_f</t>
  </si>
  <si>
    <t>e_50_m_remolque_de_maniqui_master_70_74_m</t>
  </si>
  <si>
    <t>e_lanzamiento_de_cuerda_master_60_64_m</t>
  </si>
  <si>
    <t>e_lanzamiento_de_cuerda_master_35_39_f</t>
  </si>
  <si>
    <t>e_100_m_combinada_de_salvamento_cadete_m</t>
  </si>
  <si>
    <t>100 m Combinada de Salvamento</t>
  </si>
  <si>
    <t>Cadete</t>
  </si>
  <si>
    <t>Combinada de Salvamento</t>
  </si>
  <si>
    <t>e_100_m_combinada_de_salvamento_juvenil_f</t>
  </si>
  <si>
    <t>Juvenil</t>
  </si>
  <si>
    <t>e_100_m_combinada_de_salvamento_junior_f</t>
  </si>
  <si>
    <t>Júnior</t>
  </si>
  <si>
    <t>e_100_m_combinada_de_salvamento_absoluto_f</t>
  </si>
  <si>
    <t>Absoluta</t>
  </si>
  <si>
    <t>e_100_m_combinada_de_salvamento_juvenil_m</t>
  </si>
  <si>
    <t>e_100_m_combinada_de_salvamento_junior_m</t>
  </si>
  <si>
    <t>e_100_m_combinada_de_salvamento_absoluto_m</t>
  </si>
  <si>
    <t>e_100_m_natacion_con_obstaculos_master_60_69_m</t>
  </si>
  <si>
    <t>Máster 60-69</t>
  </si>
  <si>
    <t>e_100_m_natacion_con_obstaculos_infantil_m</t>
  </si>
  <si>
    <t>Infantil</t>
  </si>
  <si>
    <t>e_100_m_remolque_de_maniqui_con_aletas_absoluto_m</t>
  </si>
  <si>
    <t>e_100_m_remolque_de_maniqui_con_aletas_juvenil_m</t>
  </si>
  <si>
    <t>e_100_m_remolque_de_maniqui_con_aletas_master_60_69_m</t>
  </si>
  <si>
    <t>e_100_m_remolque_de_maniqui_con_aletas_master_40_49_m</t>
  </si>
  <si>
    <t>Máster 40-49</t>
  </si>
  <si>
    <t>e_100_m_remolque_de_maniqui_con_aletas_absoluto_f</t>
  </si>
  <si>
    <t>e_100_m_remolque_de_maniqui_con_aletas_junior_f</t>
  </si>
  <si>
    <t>e_100_m_remolque_de_maniqui_con_aletas_juvenil_f</t>
  </si>
  <si>
    <t>e_100_m_remolque_de_maniqui_con_aletas_junior_m</t>
  </si>
  <si>
    <t>e_100_m_remolque_de_maniqui_con_aletas_cadete_m</t>
  </si>
  <si>
    <t>e_100_m_remolque_de_maniqui_con_aletas_de_goma_infantil_m</t>
  </si>
  <si>
    <t>100 m Remolque de Maniquí con Aletas de Goma</t>
  </si>
  <si>
    <t>Remolque de Maniquí con Aletas de Goma</t>
  </si>
  <si>
    <t>e_100_m_socorrista_master_60_69_m</t>
  </si>
  <si>
    <t>e_100_m_socorrista_junior_m</t>
  </si>
  <si>
    <t>e_100_m_socorrista_absoluto_m</t>
  </si>
  <si>
    <t>e_100_m_socorrista_juvenil_m</t>
  </si>
  <si>
    <t>e_100_m_socorrista_master_40_49_m</t>
  </si>
  <si>
    <t>e_100_m_socorrista_junior_f</t>
  </si>
  <si>
    <t>e_100_m_socorrista_juvenil_f</t>
  </si>
  <si>
    <t>e_100_m_socorrista_master_30_39_m</t>
  </si>
  <si>
    <t>Máster 30-39</t>
  </si>
  <si>
    <t>e_100_m_socorrista_absoluto_f</t>
  </si>
  <si>
    <t>e_100_m_socorrista_infantil_m</t>
  </si>
  <si>
    <t>e_100_m_supersocorrista_juvenil_f</t>
  </si>
  <si>
    <t>100 m Supersocorrista</t>
  </si>
  <si>
    <t>Supersocorrista</t>
  </si>
  <si>
    <t>e_100_m_supersocorrista_absoluto_m</t>
  </si>
  <si>
    <t>e_100_m_supersocorrista_junior_m</t>
  </si>
  <si>
    <t>e_100_m_supersocorrista_absoluto_f</t>
  </si>
  <si>
    <t>200 m Natación con Obstáculos</t>
  </si>
  <si>
    <t>200</t>
  </si>
  <si>
    <t>e_200_m_natacion_con_obstaculos_master_30_39_m</t>
  </si>
  <si>
    <t>e_200_m_natacion_con_obstaculos_master_40_49_m</t>
  </si>
  <si>
    <t>e_200_m_natacion_con_obstaculos_junior_m</t>
  </si>
  <si>
    <t>e_200_m_natacion_con_obstaculos_cadete_m</t>
  </si>
  <si>
    <t>e_200_m_natacion_con_obstaculos_juvenil_m</t>
  </si>
  <si>
    <t>e_200_m_natacion_con_obstaculos_juvenil_f</t>
  </si>
  <si>
    <t>e_200_m_natacion_con_obstaculos_junior_f</t>
  </si>
  <si>
    <t>e_200_m_natacion_con_obstaculos_absoluto_m</t>
  </si>
  <si>
    <t>e_200_m_natacion_con_obstaculos_absoluto_f</t>
  </si>
  <si>
    <t>e_200_m_supersocorrista_juvenil_f</t>
  </si>
  <si>
    <t>200 m Supersocorrista</t>
  </si>
  <si>
    <t>e_200_m_supersocorrista_absoluto_f</t>
  </si>
  <si>
    <t>e_200_m_supersocorrista_junior_m</t>
  </si>
  <si>
    <t>e_200_m_supersocorrista_absoluto_m</t>
  </si>
  <si>
    <t>e_200_m_supersocorrista_junior_f</t>
  </si>
  <si>
    <t>e_200_m_supersocorrista_cadete_m</t>
  </si>
  <si>
    <t>e_25_m_remolque_de_maniqui_juvenil_m</t>
  </si>
  <si>
    <t>25 m Remolque de Maniquí</t>
  </si>
  <si>
    <t>25</t>
  </si>
  <si>
    <t>e_25_m_remolque_de_maniqui_junior_f</t>
  </si>
  <si>
    <t>e_25_m_remolque_de_maniqui_absoluto_m</t>
  </si>
  <si>
    <t>e_25_m_remolque_de_maniqui_junior_m</t>
  </si>
  <si>
    <t>e_25_m_remolque_de_maniqui_absoluto_f</t>
  </si>
  <si>
    <t>e_4x12_5_m_relevo_remolque_de_maniqui_absoluto_f</t>
  </si>
  <si>
    <t>4x12,5 m Relevo Remolque de Maniquí</t>
  </si>
  <si>
    <t>4x12,5</t>
  </si>
  <si>
    <t>e_4x12_5_m_relevo_remolque_de_maniqui_absoluto_m</t>
  </si>
  <si>
    <t>X</t>
  </si>
  <si>
    <t>e_4x25_m_relevo_combinado_absoluto_m</t>
  </si>
  <si>
    <t>4x25 m Relevo Combinado</t>
  </si>
  <si>
    <t>e_4x25_m_relevo_combinado_absoluto_f</t>
  </si>
  <si>
    <t>e_4x25_m_relevo_natacion_con_obstaculos_absoluto_m</t>
  </si>
  <si>
    <t>4x25 m Relevo Natación con Obstáculos</t>
  </si>
  <si>
    <t>e_4x25_m_relevo_natacion_con_obstaculos_absoluto_f</t>
  </si>
  <si>
    <t>e_4x25_m_relevo_remolque_de_maniqui_absoluto_m</t>
  </si>
  <si>
    <t>e_4x25_m_relevo_remolque_de_maniqui_absoluto_f</t>
  </si>
  <si>
    <t>e_4x25_m_relevo_remolque_de_maniqui_junior_f</t>
  </si>
  <si>
    <t>e_4x25_m_relevo_remolque_de_maniqui_junior_m</t>
  </si>
  <si>
    <t>e_4x25_m_relevo_socorrista_absoluto_x</t>
  </si>
  <si>
    <t>4x25 m Relevo Socorrista</t>
  </si>
  <si>
    <t>Relevo Socorrista</t>
  </si>
  <si>
    <t>e_4x50_m_relevo_combinado_junior_m</t>
  </si>
  <si>
    <t>e_4x50_m_relevo_combinado_absoluto_m</t>
  </si>
  <si>
    <t>e_4x50_m_relevo_combinado_junior_f</t>
  </si>
  <si>
    <t>e_4x50_m_relevo_combinado_absoluto_f</t>
  </si>
  <si>
    <t>e_4x50_m_relevo_natacion_con_obstaculos_junior_m</t>
  </si>
  <si>
    <t>e_4x50_m_relevo_natacion_con_obstaculos_absoluto_m</t>
  </si>
  <si>
    <t>e_4x50_m_relevo_natacion_con_obstaculos_absoluto_f</t>
  </si>
  <si>
    <t>e_4x50_m_relevo_socorrista_junior_x</t>
  </si>
  <si>
    <t>4x50 m Relevo Socorrista</t>
  </si>
  <si>
    <t>e_4x50_m_relevo_socorrista_absoluto_x</t>
  </si>
  <si>
    <t>e_50_m_combinada_de_salvamento_juvenil_f</t>
  </si>
  <si>
    <t>50 m Combinada de Salvamento</t>
  </si>
  <si>
    <t>e_50_m_combinada_de_salvamento_absoluto_m</t>
  </si>
  <si>
    <t>e_50_m_combinada_de_salvamento_junior_m</t>
  </si>
  <si>
    <t>e_50_m_combinada_de_salvamento_absoluto_f</t>
  </si>
  <si>
    <t>e_50_m_natacion_con_obstaculos_absoluto_m</t>
  </si>
  <si>
    <t>50 m Natación con Obstáculos</t>
  </si>
  <si>
    <t>e_50_m_natacion_con_obstaculos_junior_m</t>
  </si>
  <si>
    <t>e_50_m_natacion_con_obstaculos_juvenil_m</t>
  </si>
  <si>
    <t>e_50_m_natacion_con_obstaculos_junior_f</t>
  </si>
  <si>
    <t>e_50_m_natacion_con_obstaculos_juvenil_f</t>
  </si>
  <si>
    <t>e_50_m_natacion_con_obstaculos_absoluto_f</t>
  </si>
  <si>
    <t>e_50_m_remolque_de_maniqui_absoluto_m</t>
  </si>
  <si>
    <t>e_50_m_remolque_de_maniqui_junior_m</t>
  </si>
  <si>
    <t>e_50_m_remolque_de_maniqui_juvenil_m</t>
  </si>
  <si>
    <t>e_50_m_remolque_de_maniqui_master_60_69_m</t>
  </si>
  <si>
    <t>e_50_m_remolque_de_maniqui_absoluto_f</t>
  </si>
  <si>
    <t>e_50_m_remolque_de_maniqui_junior_f</t>
  </si>
  <si>
    <t>e_50_m_remolque_de_maniqui_cadete_m</t>
  </si>
  <si>
    <t>e_50_m_remolque_de_maniqui_juvenil_f</t>
  </si>
  <si>
    <t>e_50_m_remolque_de_maniqui_master_40_49_m</t>
  </si>
  <si>
    <t>e_50_m_remolque_de_maniqui_con_aletas_absoluto_f</t>
  </si>
  <si>
    <t>50 m Remolque de Maniquí con Aletas</t>
  </si>
  <si>
    <t>e_50_m_remolque_de_maniqui_con_aletas_absoluto_m</t>
  </si>
  <si>
    <t>e_50_m_remolque_de_maniqui_con_aletas_junior_m</t>
  </si>
  <si>
    <t>e_50_m_remolque_de_maniqui_con_aletas_juvenil_m</t>
  </si>
  <si>
    <t>e_50_m_remolque_de_maniqui_con_aletas_junior_f</t>
  </si>
  <si>
    <t>e_50_m_remolque_de_maniqui_con_aletas_juvenil_f</t>
  </si>
  <si>
    <t>e_50_m_socorrista_junior_f</t>
  </si>
  <si>
    <t>50 m Socorrista</t>
  </si>
  <si>
    <t>e_50_m_socorrista_junior_m</t>
  </si>
  <si>
    <t>e_50_m_socorrista_absoluto_m</t>
  </si>
  <si>
    <t>e_50_m_socorrista_juvenil_f</t>
  </si>
  <si>
    <t>e_50_m_socorrista_absoluto_f</t>
  </si>
  <si>
    <t>e_lanzamiento_de_cuerda_juvenil_f</t>
  </si>
  <si>
    <t>e_lanzamiento_de_cuerda_absoluto_m</t>
  </si>
  <si>
    <t>e_lanzamiento_de_cuerda_junior_f</t>
  </si>
  <si>
    <t>e_lanzamiento_de_cuerda_absoluto_f</t>
  </si>
  <si>
    <t>e_lanzamiento_de_cuerda_junior_m</t>
  </si>
  <si>
    <t>-</t>
  </si>
  <si>
    <t>(\(cid:23\))|(_cid_23)</t>
  </si>
  <si>
    <t>\(cid:16\)</t>
  </si>
  <si>
    <t>(_cid_16)</t>
  </si>
  <si>
    <t>_</t>
  </si>
  <si>
    <t>(\(cid:25\))|(_cid_25)</t>
  </si>
  <si>
    <t>(\(cid:22\))|(_cid_22)</t>
  </si>
  <si>
    <t xml:space="preserve"> M\(cid:3\)Máster"</t>
  </si>
  <si>
    <t>"</t>
  </si>
  <si>
    <t>m_cid_3_master_x</t>
  </si>
  <si>
    <t>f</t>
  </si>
  <si>
    <t>m</t>
  </si>
  <si>
    <t>(cid:3)</t>
  </si>
  <si>
    <t>blank</t>
  </si>
  <si>
    <t>e_4x50_m_relevo_natacion_con_obstaculos_master_r4_170_f</t>
  </si>
  <si>
    <t>      {</t>
  </si>
  <si>
    <t>      },</t>
  </si>
  <si>
    <t>      }</t>
  </si>
  <si>
    <t>e_100_m_natacion_con_obstaculos_master_50_59_f</t>
  </si>
  <si>
    <t>Máster 50-59</t>
  </si>
  <si>
    <t>e_100_m_natacion_con_obstaculos_master_50_59_m</t>
  </si>
  <si>
    <t>e_100_m_remolque_de_maniqui_con_aletas_master_30_39_f</t>
  </si>
  <si>
    <t>e_100_m_remolque_de_maniqui_con_aletas_master_50_59_f</t>
  </si>
  <si>
    <t>e_100_m_remolque_de_maniqui_con_aletas_master_40_49_f</t>
  </si>
  <si>
    <t>e_100_m_socorrista_master_50_59_m</t>
  </si>
  <si>
    <t>e_100_m_socorrista_master_30_39_f</t>
  </si>
  <si>
    <t>e_100_m_socorrista_master_40_49_f</t>
  </si>
  <si>
    <t>e_100_m_socorrista_master_50_59_f</t>
  </si>
  <si>
    <t>e_200_m_natacion_con_obstaculos_master_30_39_f</t>
  </si>
  <si>
    <t>e_4x50_m_relevo_natacion_con_aletas_cadete_m</t>
  </si>
  <si>
    <t>4x50 m Relevo Natación con Aletas</t>
  </si>
  <si>
    <t>Relevo Natación con Aletas</t>
  </si>
  <si>
    <t>e_4x50_m_relevo_natacion_con_obstaculos_cadete_m</t>
  </si>
  <si>
    <t>e_4x50_m_relevo_natacion_con_obstaculos_junior_f</t>
  </si>
  <si>
    <t>e_50_m_remolque_de_maniqui_master_30_39_f</t>
  </si>
  <si>
    <t>e_50_m_remolque_de_maniqui_master_40_49_f</t>
  </si>
  <si>
    <t>e_50_m_remolque_de_maniqui_master_50_59_f</t>
  </si>
  <si>
    <t>e_50_m_remolque_de_maniqui_master_50_59_m</t>
  </si>
  <si>
    <t>,</t>
  </si>
  <si>
    <r>
      <t xml:space="preserve">        </t>
    </r>
    <r>
      <rPr>
        <sz val="11"/>
        <color rgb="FF0451A5"/>
        <rFont val="Consolas"/>
        <family val="3"/>
      </rPr>
      <t>"id"</t>
    </r>
    <r>
      <rPr>
        <sz val="11"/>
        <color rgb="FF3B3B3B"/>
        <rFont val="Consolas"/>
        <family val="3"/>
      </rPr>
      <t xml:space="preserve">: </t>
    </r>
    <r>
      <rPr>
        <sz val="11"/>
        <color rgb="FFA31515"/>
        <rFont val="Consolas"/>
        <family val="3"/>
      </rPr>
      <t>"e_4x25_m_junior_x"</t>
    </r>
    <r>
      <rPr>
        <sz val="11"/>
        <color rgb="FF3B3B3B"/>
        <rFont val="Consolas"/>
        <family val="3"/>
      </rPr>
      <t>,</t>
    </r>
  </si>
  <si>
    <r>
      <t xml:space="preserve">        </t>
    </r>
    <r>
      <rPr>
        <sz val="11"/>
        <color rgb="FF0451A5"/>
        <rFont val="Consolas"/>
        <family val="3"/>
      </rPr>
      <t>"base"</t>
    </r>
    <r>
      <rPr>
        <sz val="11"/>
        <color rgb="FF3B3B3B"/>
        <rFont val="Consolas"/>
        <family val="3"/>
      </rPr>
      <t xml:space="preserve">: </t>
    </r>
    <r>
      <rPr>
        <sz val="11"/>
        <color rgb="FFA31515"/>
        <rFont val="Consolas"/>
        <family val="3"/>
      </rPr>
      <t>"4x25 m"</t>
    </r>
    <r>
      <rPr>
        <sz val="11"/>
        <color rgb="FF3B3B3B"/>
        <rFont val="Consolas"/>
        <family val="3"/>
      </rPr>
      <t>,</t>
    </r>
  </si>
  <si>
    <r>
      <t xml:space="preserve">        </t>
    </r>
    <r>
      <rPr>
        <sz val="11"/>
        <color rgb="FF0451A5"/>
        <rFont val="Consolas"/>
        <family val="3"/>
      </rPr>
      <t>"discipline"</t>
    </r>
    <r>
      <rPr>
        <sz val="11"/>
        <color rgb="FF3B3B3B"/>
        <rFont val="Consolas"/>
        <family val="3"/>
      </rPr>
      <t xml:space="preserve">: </t>
    </r>
    <r>
      <rPr>
        <sz val="11"/>
        <color rgb="FFA31515"/>
        <rFont val="Consolas"/>
        <family val="3"/>
      </rPr>
      <t>""</t>
    </r>
    <r>
      <rPr>
        <sz val="11"/>
        <color rgb="FF3B3B3B"/>
        <rFont val="Consolas"/>
        <family val="3"/>
      </rPr>
      <t>,</t>
    </r>
  </si>
  <si>
    <r>
      <t xml:space="preserve">        </t>
    </r>
    <r>
      <rPr>
        <sz val="11"/>
        <color rgb="FF0451A5"/>
        <rFont val="Consolas"/>
        <family val="3"/>
      </rPr>
      <t>"category"</t>
    </r>
    <r>
      <rPr>
        <sz val="11"/>
        <color rgb="FF3B3B3B"/>
        <rFont val="Consolas"/>
        <family val="3"/>
      </rPr>
      <t xml:space="preserve">: </t>
    </r>
    <r>
      <rPr>
        <sz val="11"/>
        <color rgb="FFA31515"/>
        <rFont val="Consolas"/>
        <family val="3"/>
      </rPr>
      <t>"Júnior"</t>
    </r>
    <r>
      <rPr>
        <sz val="11"/>
        <color rgb="FF3B3B3B"/>
        <rFont val="Consolas"/>
        <family val="3"/>
      </rPr>
      <t>,</t>
    </r>
  </si>
  <si>
    <r>
      <t xml:space="preserve">        </t>
    </r>
    <r>
      <rPr>
        <sz val="11"/>
        <color rgb="FF0451A5"/>
        <rFont val="Consolas"/>
        <family val="3"/>
      </rPr>
      <t>"sex"</t>
    </r>
    <r>
      <rPr>
        <sz val="11"/>
        <color rgb="FF3B3B3B"/>
        <rFont val="Consolas"/>
        <family val="3"/>
      </rPr>
      <t xml:space="preserve">: </t>
    </r>
    <r>
      <rPr>
        <sz val="11"/>
        <color rgb="FFA31515"/>
        <rFont val="Consolas"/>
        <family val="3"/>
      </rPr>
      <t>"X"</t>
    </r>
    <r>
      <rPr>
        <sz val="11"/>
        <color rgb="FF3B3B3B"/>
        <rFont val="Consolas"/>
        <family val="3"/>
      </rPr>
      <t>,</t>
    </r>
  </si>
  <si>
    <r>
      <t xml:space="preserve">        </t>
    </r>
    <r>
      <rPr>
        <sz val="11"/>
        <color rgb="FF0451A5"/>
        <rFont val="Consolas"/>
        <family val="3"/>
      </rPr>
      <t>"relay"</t>
    </r>
    <r>
      <rPr>
        <sz val="11"/>
        <color rgb="FF3B3B3B"/>
        <rFont val="Consolas"/>
        <family val="3"/>
      </rPr>
      <t xml:space="preserve">: </t>
    </r>
    <r>
      <rPr>
        <sz val="11"/>
        <color rgb="FF0000FF"/>
        <rFont val="Consolas"/>
        <family val="3"/>
      </rPr>
      <t>true</t>
    </r>
    <r>
      <rPr>
        <sz val="11"/>
        <color rgb="FF3B3B3B"/>
        <rFont val="Consolas"/>
        <family val="3"/>
      </rPr>
      <t>,</t>
    </r>
  </si>
  <si>
    <r>
      <t xml:space="preserve">        </t>
    </r>
    <r>
      <rPr>
        <sz val="11"/>
        <color rgb="FF0451A5"/>
        <rFont val="Consolas"/>
        <family val="3"/>
      </rPr>
      <t>"distance_m"</t>
    </r>
    <r>
      <rPr>
        <sz val="11"/>
        <color rgb="FF3B3B3B"/>
        <rFont val="Consolas"/>
        <family val="3"/>
      </rPr>
      <t xml:space="preserve">: </t>
    </r>
    <r>
      <rPr>
        <sz val="11"/>
        <color rgb="FFA31515"/>
        <rFont val="Consolas"/>
        <family val="3"/>
      </rPr>
      <t>"4x25"</t>
    </r>
  </si>
  <si>
    <r>
      <t xml:space="preserve">        </t>
    </r>
    <r>
      <rPr>
        <sz val="11"/>
        <color rgb="FF0451A5"/>
        <rFont val="Consolas"/>
        <family val="3"/>
      </rPr>
      <t>"id"</t>
    </r>
    <r>
      <rPr>
        <sz val="11"/>
        <color rgb="FF3B3B3B"/>
        <rFont val="Consolas"/>
        <family val="3"/>
      </rPr>
      <t xml:space="preserve">: </t>
    </r>
    <r>
      <rPr>
        <sz val="11"/>
        <color rgb="FFA31515"/>
        <rFont val="Consolas"/>
        <family val="3"/>
      </rPr>
      <t>"e_4x25_m_absoluto_x"</t>
    </r>
    <r>
      <rPr>
        <sz val="11"/>
        <color rgb="FF3B3B3B"/>
        <rFont val="Consolas"/>
        <family val="3"/>
      </rPr>
      <t>,</t>
    </r>
  </si>
  <si>
    <r>
      <t xml:space="preserve">        </t>
    </r>
    <r>
      <rPr>
        <sz val="11"/>
        <color rgb="FF0451A5"/>
        <rFont val="Consolas"/>
        <family val="3"/>
      </rPr>
      <t>"category"</t>
    </r>
    <r>
      <rPr>
        <sz val="11"/>
        <color rgb="FF3B3B3B"/>
        <rFont val="Consolas"/>
        <family val="3"/>
      </rPr>
      <t xml:space="preserve">: </t>
    </r>
    <r>
      <rPr>
        <sz val="11"/>
        <color rgb="FFA31515"/>
        <rFont val="Consolas"/>
        <family val="3"/>
      </rPr>
      <t>"Absoluta"</t>
    </r>
    <r>
      <rPr>
        <sz val="11"/>
        <color rgb="FF3B3B3B"/>
        <rFont val="Consolas"/>
        <family val="3"/>
      </rPr>
      <t>,</t>
    </r>
  </si>
  <si>
    <t>Disciplina / Prueba / Categoría</t>
  </si>
  <si>
    <t>e_100_m_natacion_con_obstaculos_master_60_69_f</t>
  </si>
  <si>
    <t>e_100_m_natacion_con_obstaculos_absoluto_f</t>
  </si>
  <si>
    <t>e_100_m_natacion_con_obstaculos_master_30_39_f</t>
  </si>
  <si>
    <t>e_100_m_natacion_con_obstaculos_absoluto_m</t>
  </si>
  <si>
    <t>e_100_m_natacion_con_obstaculos_master_40_49_f</t>
  </si>
  <si>
    <t>e_100_m_natacion_con_obstaculos_master_30_39_m</t>
  </si>
  <si>
    <t>e_100_m_natacion_con_obstaculos_master_40_49_m</t>
  </si>
  <si>
    <t>e_100_m_remolque_de_maniqui_con_aletas_master_60_69_f</t>
  </si>
  <si>
    <t>e_100_m_remolque_de_maniqui_con_aletas_master_30_39_m</t>
  </si>
  <si>
    <t>e_100_m_remolque_de_maniqui_con_aletas_master_50_59_m</t>
  </si>
  <si>
    <t>e_100_m_socorrista_master_60_69_f</t>
  </si>
  <si>
    <t>e_100_m_supersocorrista_junior_f</t>
  </si>
  <si>
    <t>e_100_m_supersocorrista_juvenil_m</t>
  </si>
  <si>
    <t>e_200_m_natacion_con_obstaculos_master_40_49_f</t>
  </si>
  <si>
    <t>e_200_m_supersocorrista_juvenil_m</t>
  </si>
  <si>
    <t>e_4x25_m_relevo_remolque_de_maniqui_master_r4_140_f</t>
  </si>
  <si>
    <t>e_4x50_m_relevo_combinado_cadete_m</t>
  </si>
  <si>
    <t>e_4x50_m_relevo_combinado_master_r4_140_f</t>
  </si>
  <si>
    <t>e_4x50_m_relevo_natacion_con_obstaculos_master_r4_140_f</t>
  </si>
  <si>
    <t>e_50_m_combinada_de_salvamento_juvenil_m</t>
  </si>
  <si>
    <t>e_50_m_combinada_de_salvamento_junior_f</t>
  </si>
  <si>
    <t>e_50_m_remolque_de_maniqui_infantil_m</t>
  </si>
  <si>
    <t>e_50_m_remolque_de_maniqui_master_60_69_f</t>
  </si>
  <si>
    <t>e_50_m_remolque_de_maniqui_master_30_39_m</t>
  </si>
  <si>
    <t>e_50_m_socorrista_juvenil_m</t>
  </si>
  <si>
    <t>e_lanzamiento_de_cuerda_juvenil_m</t>
  </si>
  <si>
    <t>e_4x50_m_relevo_socorrista_juvenil_x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</si>
</sst>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3B3B3B"/>
      <name val="Consolas"/>
      <family val="3"/>
    </font>
    <font>
      <sz val="11"/>
      <color rgb="FF0451A5"/>
      <name val="Consolas"/>
      <family val="3"/>
    </font>
    <font>
      <sz val="11"/>
      <color rgb="FFA31515"/>
      <name val="Consolas"/>
      <family val="3"/>
    </font>
    <font>
      <sz val="11"/>
      <color rgb="FF0000FF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NumberFormat="1"/>
    <xf numFmtId="0" fontId="0" fillId="0" borderId="0" xfId="0" quotePrefix="1"/>
    <xf numFmtId="0" fontId="1" fillId="0" borderId="0" xfId="0" applyFont="1" applyAlignment="1">
      <alignment vertical="center"/>
    </xf>
  </cellXfs>
  <cellStyles count="1">
    <cellStyle name="Normal" xfId="0" builtinId="0"/>
  </cellStyles>
  <dxfs count="2">
    <dxf>
      <numFmt numFmtId="0" formatCode="General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pintero, Mariano" refreshedDate="46132.746700925927" createdVersion="8" refreshedVersion="8" minRefreshableVersion="3" recordCount="239" xr:uid="{1C52C30D-4CDF-4895-969E-22294F4AEE89}">
  <cacheSource type="worksheet">
    <worksheetSource name="Canonical"/>
  </cacheSource>
  <cacheFields count="8">
    <cacheField name="Column1.id" numFmtId="0">
      <sharedItems/>
    </cacheField>
    <cacheField name="Column1.base" numFmtId="0">
      <sharedItems count="43">
        <s v="100 m Combinada de Salvamento"/>
        <s v="100 m Natación con Obstáculos"/>
        <s v="100 m Remolque de Maniquí con Aletas"/>
        <s v="100 m Remolque de Maniquí con Aletas de Goma"/>
        <s v="100 m Socorrista"/>
        <s v="100 m Supersocorrista"/>
        <s v="200 m Natación con Obstáculos"/>
        <s v="200 m Supersocorrista"/>
        <s v="25 m Remolque de Maniquí"/>
        <s v="4x12,5 m Relevo Remolque de Maniquí"/>
        <s v="4x25 m Relevo Combinado"/>
        <s v="4x25 m Relevo Natación con Obstáculos"/>
        <s v="4x25 m Relevo Remolque de Maniquí"/>
        <s v="4x25 m Relevo Socorrista"/>
        <s v="4x50 m Relevo Combinado"/>
        <s v="4x50 m Relevo Natación con Aletas"/>
        <s v="4x50 m Relevo Natación con Obstáculos"/>
        <s v="4x50 m Relevo Socorrista"/>
        <s v="50 m Combinada de Salvamento"/>
        <s v="50 m Natación con Obstáculos"/>
        <s v="50 m Remolque de Maniquí"/>
        <s v="50 m Remolque de Maniquí con Aletas"/>
        <s v="50 m Socorrista"/>
        <s v="Lanzamiento de Cuerda"/>
        <s v="4x50 m Relevo . 4x50 M. Combinado" u="1"/>
        <s v="4x25 m" u="1"/>
        <s v="4x50 m" u="1"/>
        <s v="100 m Remolque de Maniquí" u="1"/>
        <s v="Unknown" u="1"/>
        <s v="4x50 m Relevo Combinado F (relevos)" u="1"/>
        <s v="100 m Arrastre de Maniquí" u="1"/>
        <s v="100 m Combinada Salvamento" u="1"/>
        <s v="200 m Socorrista" u="1"/>
        <s v="25 m Arrastre de Maniquí" u="1"/>
        <s v="4x12,5 m Relevo Arrastre de Maniquí" u="1"/>
        <s v="4x25 m Relevo Arrastre de Maniquí" u="1"/>
        <s v="50 m Arrastre de Maniquí" u="1"/>
        <s v="50 m Combinada" u="1"/>
        <s v="50 m Combinada Salvamento" u="1"/>
        <s v="100 m Remolque de Maniquí Pequeño con Aletas" u="1"/>
        <s v="50 m Remolque de Maniquí Pequeño" u="1"/>
        <s v="4x12,5 m Relevo Remolque Maniquí" u="1"/>
        <s v="4x25 m Relevo Remolque Maniquí" u="1"/>
      </sharedItems>
    </cacheField>
    <cacheField name="Column1.sex" numFmtId="0">
      <sharedItems/>
    </cacheField>
    <cacheField name="Column1.category" numFmtId="0">
      <sharedItems count="52">
        <s v="Absoluta"/>
        <s v="Cadete"/>
        <s v="Júnior"/>
        <s v="Juvenil"/>
        <s v="Infantil"/>
        <s v="Máster 30-34"/>
        <s v="Máster 30-39"/>
        <s v="Máster 35-39"/>
        <s v="Máster 40-49"/>
        <s v="Máster 45-49"/>
        <s v="Máster 50-54"/>
        <s v="Máster 50-59"/>
        <s v="Máster 55-59"/>
        <s v="Máster 60-64"/>
        <s v="Máster 60-69"/>
        <s v="Máster 70-74"/>
        <s v="Máster 40-44"/>
        <s v="Máster R4 +120"/>
        <s v="Máster R4 +140"/>
        <s v="Máster R4 +170"/>
        <s v="Máster R4 +200"/>
        <s v="Máster R4 +230"/>
        <s v="Máster 65-69" u="1"/>
        <s v="Máster +55" u="1"/>
        <s v="Máster 30-44" u="1"/>
        <s v="Juvenil - Júnior" u="1"/>
        <s v="Máster 60+64" u="1"/>
        <s v="Máster R4 +10" u="1"/>
        <s v="Máster R4 +0" u="1"/>
        <s v="Máster R4 +10 Máster" u="1"/>
        <s v="Máster R4 +0 Máster" u="1"/>
        <s v="Máster R4 +200 Máster" u="1"/>
        <s v="Máster R4 +230 Máster" u="1"/>
        <s v="Máster R4 +170 Máster" u="1"/>
        <s v="Máster 30-3(cid:23)" u="1"/>
        <s v="Máster R4 +2(cid:22)0 M(cid:3)Máster" u="1"/>
        <s v="Máster R4 +200 M(cid:3)Máster" u="1"/>
        <s v="Máster 60(cid:16)(cid:25)(cid:23)(cid:3)(cid:48)" u="1"/>
        <s v="Máster 30-3" u="1"/>
        <s v="Máster R4 +0 Fmáster" u="1"/>
        <s v="Máster R4 +10 Fmáster" u="1"/>
        <s v="Máster R4 +200 Mmáster" u="1"/>
        <s v="Máster R4 +20 Mmáster" u="1"/>
        <s v="Máster 60" u="1"/>
        <s v="Máster +170" u="1"/>
        <s v="Máster +200" u="1"/>
        <s v="Máster +230" u="1"/>
        <s v="Junior" u="1"/>
        <s v="Juvenil - Junior" u="1"/>
        <s v="Master 60-64" u="1"/>
        <s v="Máster &gt; 70" u="1"/>
        <s v="Máster" u="1"/>
      </sharedItems>
    </cacheField>
    <cacheField name="Column1.distance_m" numFmtId="0">
      <sharedItems containsBlank="1" containsMixedTypes="1" containsNumber="1" containsInteger="1" minValue="25" maxValue="200" count="12">
        <s v="100"/>
        <s v="200"/>
        <s v="25"/>
        <s v="4x12,5"/>
        <s v="4x25"/>
        <s v="4x50"/>
        <s v="50"/>
        <m/>
        <n v="50" u="1"/>
        <n v="100" u="1"/>
        <n v="25" u="1"/>
        <n v="200" u="1"/>
      </sharedItems>
    </cacheField>
    <cacheField name="Column1.discipline" numFmtId="0">
      <sharedItems count="24">
        <s v="Combinada de Salvamento"/>
        <s v="Natación con Obstáculos"/>
        <s v="Remolque de Maniquí con Aletas"/>
        <s v="Remolque de Maniquí con Aletas de Goma"/>
        <s v="Socorrista"/>
        <s v="Supersocorrista"/>
        <s v="Remolque de Maniquí"/>
        <s v="Relevo Remolque de Maniquí"/>
        <s v="Relevo Combinado"/>
        <s v="Relevo Natación con Obstáculos"/>
        <s v="Relevo Socorrista"/>
        <s v="Relevo Natación con Aletas"/>
        <s v="Lanzamiento de Cuerda"/>
        <s v="Relevo . 4x50 M. Combinado" u="1"/>
        <s v="" u="1"/>
        <s v="Unknown" u="1"/>
        <s v="Relevo Combinado F (relevos)" u="1"/>
        <s v="Arrastre de Maniquí" u="1"/>
        <s v="Combinada Salvamento" u="1"/>
        <s v="Relevo Arrastre de Maniquí" u="1"/>
        <s v="Combinada" u="1"/>
        <s v="Remolque de Maniquí Pequeño con Aletas" u="1"/>
        <s v="Remolque de Maniquí Pequeño" u="1"/>
        <s v="Relevo Remolque Maniquí" u="1"/>
      </sharedItems>
    </cacheField>
    <cacheField name="Concatenate" numFmtId="0">
      <sharedItems/>
    </cacheField>
    <cacheField name="Duplicates" numFmtId="0">
      <sharedItems containsSemiMixedTypes="0" containsString="0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9">
  <r>
    <s v="e_100_m_combinada_de_salvamento_absoluto_f"/>
    <x v="0"/>
    <s v="F"/>
    <x v="0"/>
    <x v="0"/>
    <x v="0"/>
    <s v="e_100_m_combinada_de_salvamento_absoluto_f100 m Combinada de SalvamentoFAbsoluta100Combinada de Salvamento"/>
    <n v="1"/>
  </r>
  <r>
    <s v="e_100_m_combinada_de_salvamento_absoluto_m"/>
    <x v="0"/>
    <s v="M"/>
    <x v="0"/>
    <x v="0"/>
    <x v="0"/>
    <s v="e_100_m_combinada_de_salvamento_absoluto_m100 m Combinada de SalvamentoMAbsoluta100Combinada de Salvamento"/>
    <n v="1"/>
  </r>
  <r>
    <s v="e_100_m_combinada_de_salvamento_cadete_m"/>
    <x v="0"/>
    <s v="M"/>
    <x v="1"/>
    <x v="0"/>
    <x v="0"/>
    <s v="e_100_m_combinada_de_salvamento_cadete_m100 m Combinada de SalvamentoMCadete100Combinada de Salvamento"/>
    <n v="1"/>
  </r>
  <r>
    <s v="e_100_m_combinada_de_salvamento_junior_f"/>
    <x v="0"/>
    <s v="F"/>
    <x v="2"/>
    <x v="0"/>
    <x v="0"/>
    <s v="e_100_m_combinada_de_salvamento_junior_f100 m Combinada de SalvamentoFJúnior100Combinada de Salvamento"/>
    <n v="1"/>
  </r>
  <r>
    <s v="e_100_m_combinada_de_salvamento_junior_m"/>
    <x v="0"/>
    <s v="M"/>
    <x v="2"/>
    <x v="0"/>
    <x v="0"/>
    <s v="e_100_m_combinada_de_salvamento_junior_m100 m Combinada de SalvamentoMJúnior100Combinada de Salvamento"/>
    <n v="1"/>
  </r>
  <r>
    <s v="e_100_m_combinada_de_salvamento_juvenil_f"/>
    <x v="0"/>
    <s v="F"/>
    <x v="3"/>
    <x v="0"/>
    <x v="0"/>
    <s v="e_100_m_combinada_de_salvamento_juvenil_f100 m Combinada de SalvamentoFJuvenil100Combinada de Salvamento"/>
    <n v="1"/>
  </r>
  <r>
    <s v="e_100_m_combinada_de_salvamento_juvenil_m"/>
    <x v="0"/>
    <s v="M"/>
    <x v="3"/>
    <x v="0"/>
    <x v="0"/>
    <s v="e_100_m_combinada_de_salvamento_juvenil_m100 m Combinada de SalvamentoMJuvenil100Combinada de Salvamento"/>
    <n v="1"/>
  </r>
  <r>
    <s v="e_100_m_natacion_con_obstaculos_absoluto_f"/>
    <x v="1"/>
    <s v="F"/>
    <x v="0"/>
    <x v="0"/>
    <x v="1"/>
    <s v="e_100_m_natacion_con_obstaculos_absoluto_f100 m Natación con ObstáculosFAbsoluta100Natación con Obstáculos"/>
    <n v="1"/>
  </r>
  <r>
    <s v="e_100_m_natacion_con_obstaculos_absoluto_m"/>
    <x v="1"/>
    <s v="M"/>
    <x v="0"/>
    <x v="0"/>
    <x v="1"/>
    <s v="e_100_m_natacion_con_obstaculos_absoluto_m100 m Natación con ObstáculosMAbsoluta100Natación con Obstáculos"/>
    <n v="1"/>
  </r>
  <r>
    <s v="e_100_m_natacion_con_obstaculos_infantil_m"/>
    <x v="1"/>
    <s v="M"/>
    <x v="4"/>
    <x v="0"/>
    <x v="1"/>
    <s v="e_100_m_natacion_con_obstaculos_infantil_m100 m Natación con ObstáculosMInfantil100Natación con Obstáculos"/>
    <n v="1"/>
  </r>
  <r>
    <s v="e_100_m_natacion_con_obstaculos_master_30_34_f"/>
    <x v="1"/>
    <s v="F"/>
    <x v="5"/>
    <x v="0"/>
    <x v="1"/>
    <s v="e_100_m_natacion_con_obstaculos_master_30_34_f100 m Natación con ObstáculosFMáster 30-34100Natación con Obstáculos"/>
    <n v="1"/>
  </r>
  <r>
    <s v="e_100_m_natacion_con_obstaculos_master_30_34_m"/>
    <x v="1"/>
    <s v="M"/>
    <x v="5"/>
    <x v="0"/>
    <x v="1"/>
    <s v="e_100_m_natacion_con_obstaculos_master_30_34_m100 m Natación con ObstáculosMMáster 30-34100Natación con Obstáculos"/>
    <n v="1"/>
  </r>
  <r>
    <s v="e_100_m_natacion_con_obstaculos_master_30_39_f"/>
    <x v="1"/>
    <s v="F"/>
    <x v="6"/>
    <x v="0"/>
    <x v="1"/>
    <s v="e_100_m_natacion_con_obstaculos_master_30_39_f100 m Natación con ObstáculosFMáster 30-39100Natación con Obstáculos"/>
    <n v="1"/>
  </r>
  <r>
    <s v="e_100_m_natacion_con_obstaculos_master_30_39_m"/>
    <x v="1"/>
    <s v="M"/>
    <x v="6"/>
    <x v="0"/>
    <x v="1"/>
    <s v="e_100_m_natacion_con_obstaculos_master_30_39_m100 m Natación con ObstáculosMMáster 30-39100Natación con Obstáculos"/>
    <n v="1"/>
  </r>
  <r>
    <s v="e_100_m_natacion_con_obstaculos_master_35_39_f"/>
    <x v="1"/>
    <s v="F"/>
    <x v="7"/>
    <x v="0"/>
    <x v="1"/>
    <s v="e_100_m_natacion_con_obstaculos_master_35_39_f100 m Natación con ObstáculosFMáster 35-39100Natación con Obstáculos"/>
    <n v="1"/>
  </r>
  <r>
    <s v="e_100_m_natacion_con_obstaculos_master_35_39_m"/>
    <x v="1"/>
    <s v="M"/>
    <x v="7"/>
    <x v="0"/>
    <x v="1"/>
    <s v="e_100_m_natacion_con_obstaculos_master_35_39_m100 m Natación con ObstáculosMMáster 35-39100Natación con Obstáculos"/>
    <n v="1"/>
  </r>
  <r>
    <s v="e_100_m_natacion_con_obstaculos_master_40_49_f"/>
    <x v="1"/>
    <s v="F"/>
    <x v="8"/>
    <x v="0"/>
    <x v="1"/>
    <s v="e_100_m_natacion_con_obstaculos_master_40_49_f100 m Natación con ObstáculosFMáster 40-49100Natación con Obstáculos"/>
    <n v="1"/>
  </r>
  <r>
    <s v="e_100_m_natacion_con_obstaculos_master_40_49_m"/>
    <x v="1"/>
    <s v="M"/>
    <x v="8"/>
    <x v="0"/>
    <x v="1"/>
    <s v="e_100_m_natacion_con_obstaculos_master_40_49_m100 m Natación con ObstáculosMMáster 40-49100Natación con Obstáculos"/>
    <n v="1"/>
  </r>
  <r>
    <s v="e_100_m_natacion_con_obstaculos_master_45_49_f"/>
    <x v="1"/>
    <s v="F"/>
    <x v="9"/>
    <x v="0"/>
    <x v="1"/>
    <s v="e_100_m_natacion_con_obstaculos_master_45_49_f100 m Natación con ObstáculosFMáster 45-49100Natación con Obstáculos"/>
    <n v="1"/>
  </r>
  <r>
    <s v="e_100_m_natacion_con_obstaculos_master_45_49_m"/>
    <x v="1"/>
    <s v="M"/>
    <x v="9"/>
    <x v="0"/>
    <x v="1"/>
    <s v="e_100_m_natacion_con_obstaculos_master_45_49_m100 m Natación con ObstáculosMMáster 45-49100Natación con Obstáculos"/>
    <n v="1"/>
  </r>
  <r>
    <s v="e_100_m_natacion_con_obstaculos_master_50_54_f"/>
    <x v="1"/>
    <s v="F"/>
    <x v="10"/>
    <x v="0"/>
    <x v="1"/>
    <s v="e_100_m_natacion_con_obstaculos_master_50_54_f100 m Natación con ObstáculosFMáster 50-54100Natación con Obstáculos"/>
    <n v="1"/>
  </r>
  <r>
    <s v="e_100_m_natacion_con_obstaculos_master_50_54_m"/>
    <x v="1"/>
    <s v="M"/>
    <x v="10"/>
    <x v="0"/>
    <x v="1"/>
    <s v="e_100_m_natacion_con_obstaculos_master_50_54_m100 m Natación con ObstáculosMMáster 50-54100Natación con Obstáculos"/>
    <n v="1"/>
  </r>
  <r>
    <s v="e_100_m_natacion_con_obstaculos_master_50_59_f"/>
    <x v="1"/>
    <s v="F"/>
    <x v="11"/>
    <x v="0"/>
    <x v="1"/>
    <s v="e_100_m_natacion_con_obstaculos_master_50_59_f100 m Natación con ObstáculosFMáster 50-59100Natación con Obstáculos"/>
    <n v="1"/>
  </r>
  <r>
    <s v="e_100_m_natacion_con_obstaculos_master_50_59_m"/>
    <x v="1"/>
    <s v="M"/>
    <x v="11"/>
    <x v="0"/>
    <x v="1"/>
    <s v="e_100_m_natacion_con_obstaculos_master_50_59_m100 m Natación con ObstáculosMMáster 50-59100Natación con Obstáculos"/>
    <n v="1"/>
  </r>
  <r>
    <s v="e_100_m_natacion_con_obstaculos_master_55_59_f"/>
    <x v="1"/>
    <s v="F"/>
    <x v="12"/>
    <x v="0"/>
    <x v="1"/>
    <s v="e_100_m_natacion_con_obstaculos_master_55_59_f100 m Natación con ObstáculosFMáster 55-59100Natación con Obstáculos"/>
    <n v="1"/>
  </r>
  <r>
    <s v="e_100_m_natacion_con_obstaculos_master_55_59_m"/>
    <x v="1"/>
    <s v="M"/>
    <x v="12"/>
    <x v="0"/>
    <x v="1"/>
    <s v="e_100_m_natacion_con_obstaculos_master_55_59_m100 m Natación con ObstáculosMMáster 55-59100Natación con Obstáculos"/>
    <n v="1"/>
  </r>
  <r>
    <s v="e_100_m_natacion_con_obstaculos_master_60_64_m"/>
    <x v="1"/>
    <s v="M"/>
    <x v="13"/>
    <x v="0"/>
    <x v="1"/>
    <s v="e_100_m_natacion_con_obstaculos_master_60_64_m100 m Natación con ObstáculosMMáster 60-64100Natación con Obstáculos"/>
    <n v="1"/>
  </r>
  <r>
    <s v="e_100_m_natacion_con_obstaculos_master_60_69_f"/>
    <x v="1"/>
    <s v="F"/>
    <x v="14"/>
    <x v="0"/>
    <x v="1"/>
    <s v="e_100_m_natacion_con_obstaculos_master_60_69_f100 m Natación con ObstáculosFMáster 60-69100Natación con Obstáculos"/>
    <n v="1"/>
  </r>
  <r>
    <s v="e_100_m_natacion_con_obstaculos_master_60_69_m"/>
    <x v="1"/>
    <s v="M"/>
    <x v="14"/>
    <x v="0"/>
    <x v="1"/>
    <s v="e_100_m_natacion_con_obstaculos_master_60_69_m100 m Natación con ObstáculosMMáster 60-69100Natación con Obstáculos"/>
    <n v="1"/>
  </r>
  <r>
    <s v="e_100_m_natacion_con_obstaculos_master_70_74_m"/>
    <x v="1"/>
    <s v="M"/>
    <x v="15"/>
    <x v="0"/>
    <x v="1"/>
    <s v="e_100_m_natacion_con_obstaculos_master_70_74_m100 m Natación con ObstáculosMMáster 70-74100Natación con Obstáculos"/>
    <n v="1"/>
  </r>
  <r>
    <s v="e_100_m_remolque_de_maniqui_con_aletas_absoluto_f"/>
    <x v="2"/>
    <s v="F"/>
    <x v="0"/>
    <x v="0"/>
    <x v="2"/>
    <s v="e_100_m_remolque_de_maniqui_con_aletas_absoluto_f100 m Remolque de Maniquí con AletasFAbsoluta100Remolque de Maniquí con Aletas"/>
    <n v="1"/>
  </r>
  <r>
    <s v="e_100_m_remolque_de_maniqui_con_aletas_absoluto_m"/>
    <x v="2"/>
    <s v="M"/>
    <x v="0"/>
    <x v="0"/>
    <x v="2"/>
    <s v="e_100_m_remolque_de_maniqui_con_aletas_absoluto_m100 m Remolque de Maniquí con AletasMAbsoluta100Remolque de Maniquí con Aletas"/>
    <n v="1"/>
  </r>
  <r>
    <s v="e_100_m_remolque_de_maniqui_con_aletas_cadete_m"/>
    <x v="2"/>
    <s v="M"/>
    <x v="1"/>
    <x v="0"/>
    <x v="2"/>
    <s v="e_100_m_remolque_de_maniqui_con_aletas_cadete_m100 m Remolque de Maniquí con AletasMCadete100Remolque de Maniquí con Aletas"/>
    <n v="1"/>
  </r>
  <r>
    <s v="e_100_m_remolque_de_maniqui_con_aletas_de_goma_infantil_m"/>
    <x v="3"/>
    <s v="M"/>
    <x v="4"/>
    <x v="0"/>
    <x v="3"/>
    <s v="e_100_m_remolque_de_maniqui_con_aletas_de_goma_infantil_m100 m Remolque de Maniquí con Aletas de GomaMInfantil100Remolque de Maniquí con Aletas de Goma"/>
    <n v="1"/>
  </r>
  <r>
    <s v="e_100_m_remolque_de_maniqui_con_aletas_junior_f"/>
    <x v="2"/>
    <s v="F"/>
    <x v="2"/>
    <x v="0"/>
    <x v="2"/>
    <s v="e_100_m_remolque_de_maniqui_con_aletas_junior_f100 m Remolque de Maniquí con AletasFJúnior100Remolque de Maniquí con Aletas"/>
    <n v="1"/>
  </r>
  <r>
    <s v="e_100_m_remolque_de_maniqui_con_aletas_junior_m"/>
    <x v="2"/>
    <s v="M"/>
    <x v="2"/>
    <x v="0"/>
    <x v="2"/>
    <s v="e_100_m_remolque_de_maniqui_con_aletas_junior_m100 m Remolque de Maniquí con AletasMJúnior100Remolque de Maniquí con Aletas"/>
    <n v="1"/>
  </r>
  <r>
    <s v="e_100_m_remolque_de_maniqui_con_aletas_juvenil_f"/>
    <x v="2"/>
    <s v="F"/>
    <x v="3"/>
    <x v="0"/>
    <x v="2"/>
    <s v="e_100_m_remolque_de_maniqui_con_aletas_juvenil_f100 m Remolque de Maniquí con AletasFJuvenil100Remolque de Maniquí con Aletas"/>
    <n v="1"/>
  </r>
  <r>
    <s v="e_100_m_remolque_de_maniqui_con_aletas_juvenil_m"/>
    <x v="2"/>
    <s v="M"/>
    <x v="3"/>
    <x v="0"/>
    <x v="2"/>
    <s v="e_100_m_remolque_de_maniqui_con_aletas_juvenil_m100 m Remolque de Maniquí con AletasMJuvenil100Remolque de Maniquí con Aletas"/>
    <n v="1"/>
  </r>
  <r>
    <s v="e_100_m_remolque_de_maniqui_con_aletas_master_30_34_f"/>
    <x v="2"/>
    <s v="F"/>
    <x v="5"/>
    <x v="0"/>
    <x v="2"/>
    <s v="e_100_m_remolque_de_maniqui_con_aletas_master_30_34_f100 m Remolque de Maniquí con AletasFMáster 30-34100Remolque de Maniquí con Aletas"/>
    <n v="1"/>
  </r>
  <r>
    <s v="e_100_m_remolque_de_maniqui_con_aletas_master_30_34_m"/>
    <x v="2"/>
    <s v="M"/>
    <x v="5"/>
    <x v="0"/>
    <x v="2"/>
    <s v="e_100_m_remolque_de_maniqui_con_aletas_master_30_34_m100 m Remolque de Maniquí con AletasMMáster 30-34100Remolque de Maniquí con Aletas"/>
    <n v="1"/>
  </r>
  <r>
    <s v="e_100_m_remolque_de_maniqui_con_aletas_master_30_39_f"/>
    <x v="2"/>
    <s v="F"/>
    <x v="6"/>
    <x v="0"/>
    <x v="2"/>
    <s v="e_100_m_remolque_de_maniqui_con_aletas_master_30_39_f100 m Remolque de Maniquí con AletasFMáster 30-39100Remolque de Maniquí con Aletas"/>
    <n v="1"/>
  </r>
  <r>
    <s v="e_100_m_remolque_de_maniqui_con_aletas_master_30_39_m"/>
    <x v="2"/>
    <s v="M"/>
    <x v="6"/>
    <x v="0"/>
    <x v="2"/>
    <s v="e_100_m_remolque_de_maniqui_con_aletas_master_30_39_m100 m Remolque de Maniquí con AletasMMáster 30-39100Remolque de Maniquí con Aletas"/>
    <n v="1"/>
  </r>
  <r>
    <s v="e_100_m_remolque_de_maniqui_con_aletas_master_35_39_f"/>
    <x v="2"/>
    <s v="F"/>
    <x v="7"/>
    <x v="0"/>
    <x v="2"/>
    <s v="e_100_m_remolque_de_maniqui_con_aletas_master_35_39_f100 m Remolque de Maniquí con AletasFMáster 35-39100Remolque de Maniquí con Aletas"/>
    <n v="1"/>
  </r>
  <r>
    <s v="e_100_m_remolque_de_maniqui_con_aletas_master_35_39_m"/>
    <x v="2"/>
    <s v="M"/>
    <x v="7"/>
    <x v="0"/>
    <x v="2"/>
    <s v="e_100_m_remolque_de_maniqui_con_aletas_master_35_39_m100 m Remolque de Maniquí con AletasMMáster 35-39100Remolque de Maniquí con Aletas"/>
    <n v="1"/>
  </r>
  <r>
    <s v="e_100_m_remolque_de_maniqui_con_aletas_master_40_44_m"/>
    <x v="2"/>
    <s v="M"/>
    <x v="16"/>
    <x v="0"/>
    <x v="2"/>
    <s v="e_100_m_remolque_de_maniqui_con_aletas_master_40_44_m100 m Remolque de Maniquí con AletasMMáster 40-44100Remolque de Maniquí con Aletas"/>
    <n v="1"/>
  </r>
  <r>
    <s v="e_100_m_remolque_de_maniqui_con_aletas_master_40_49_f"/>
    <x v="2"/>
    <s v="F"/>
    <x v="8"/>
    <x v="0"/>
    <x v="2"/>
    <s v="e_100_m_remolque_de_maniqui_con_aletas_master_40_49_f100 m Remolque de Maniquí con AletasFMáster 40-49100Remolque de Maniquí con Aletas"/>
    <n v="1"/>
  </r>
  <r>
    <s v="e_100_m_remolque_de_maniqui_con_aletas_master_40_49_m"/>
    <x v="2"/>
    <s v="M"/>
    <x v="8"/>
    <x v="0"/>
    <x v="2"/>
    <s v="e_100_m_remolque_de_maniqui_con_aletas_master_40_49_m100 m Remolque de Maniquí con AletasMMáster 40-49100Remolque de Maniquí con Aletas"/>
    <n v="1"/>
  </r>
  <r>
    <s v="e_100_m_remolque_de_maniqui_con_aletas_master_45_49_f"/>
    <x v="2"/>
    <s v="F"/>
    <x v="9"/>
    <x v="0"/>
    <x v="2"/>
    <s v="e_100_m_remolque_de_maniqui_con_aletas_master_45_49_f100 m Remolque de Maniquí con AletasFMáster 45-49100Remolque de Maniquí con Aletas"/>
    <n v="1"/>
  </r>
  <r>
    <s v="e_100_m_remolque_de_maniqui_con_aletas_master_45_49_m"/>
    <x v="2"/>
    <s v="M"/>
    <x v="9"/>
    <x v="0"/>
    <x v="2"/>
    <s v="e_100_m_remolque_de_maniqui_con_aletas_master_45_49_m100 m Remolque de Maniquí con AletasMMáster 45-49100Remolque de Maniquí con Aletas"/>
    <n v="1"/>
  </r>
  <r>
    <s v="e_100_m_remolque_de_maniqui_con_aletas_master_50_54_f"/>
    <x v="2"/>
    <s v="F"/>
    <x v="10"/>
    <x v="0"/>
    <x v="2"/>
    <s v="e_100_m_remolque_de_maniqui_con_aletas_master_50_54_f100 m Remolque de Maniquí con AletasFMáster 50-54100Remolque de Maniquí con Aletas"/>
    <n v="1"/>
  </r>
  <r>
    <s v="e_100_m_remolque_de_maniqui_con_aletas_master_50_54_m"/>
    <x v="2"/>
    <s v="M"/>
    <x v="10"/>
    <x v="0"/>
    <x v="2"/>
    <s v="e_100_m_remolque_de_maniqui_con_aletas_master_50_54_m100 m Remolque de Maniquí con AletasMMáster 50-54100Remolque de Maniquí con Aletas"/>
    <n v="1"/>
  </r>
  <r>
    <s v="e_100_m_remolque_de_maniqui_con_aletas_master_50_59_f"/>
    <x v="2"/>
    <s v="F"/>
    <x v="11"/>
    <x v="0"/>
    <x v="2"/>
    <s v="e_100_m_remolque_de_maniqui_con_aletas_master_50_59_f100 m Remolque de Maniquí con AletasFMáster 50-59100Remolque de Maniquí con Aletas"/>
    <n v="1"/>
  </r>
  <r>
    <s v="e_100_m_remolque_de_maniqui_con_aletas_master_50_59_m"/>
    <x v="2"/>
    <s v="M"/>
    <x v="11"/>
    <x v="0"/>
    <x v="2"/>
    <s v="e_100_m_remolque_de_maniqui_con_aletas_master_50_59_m100 m Remolque de Maniquí con AletasMMáster 50-59100Remolque de Maniquí con Aletas"/>
    <n v="1"/>
  </r>
  <r>
    <s v="e_100_m_remolque_de_maniqui_con_aletas_master_55_59_f"/>
    <x v="2"/>
    <s v="F"/>
    <x v="12"/>
    <x v="0"/>
    <x v="2"/>
    <s v="e_100_m_remolque_de_maniqui_con_aletas_master_55_59_f100 m Remolque de Maniquí con AletasFMáster 55-59100Remolque de Maniquí con Aletas"/>
    <n v="1"/>
  </r>
  <r>
    <s v="e_100_m_remolque_de_maniqui_con_aletas_master_55_59_m"/>
    <x v="2"/>
    <s v="M"/>
    <x v="12"/>
    <x v="0"/>
    <x v="2"/>
    <s v="e_100_m_remolque_de_maniqui_con_aletas_master_55_59_m100 m Remolque de Maniquí con AletasMMáster 55-59100Remolque de Maniquí con Aletas"/>
    <n v="1"/>
  </r>
  <r>
    <s v="e_100_m_remolque_de_maniqui_con_aletas_master_60_64_m"/>
    <x v="2"/>
    <s v="M"/>
    <x v="13"/>
    <x v="0"/>
    <x v="2"/>
    <s v="e_100_m_remolque_de_maniqui_con_aletas_master_60_64_m100 m Remolque de Maniquí con AletasMMáster 60-64100Remolque de Maniquí con Aletas"/>
    <n v="1"/>
  </r>
  <r>
    <s v="e_100_m_remolque_de_maniqui_con_aletas_master_60_69_f"/>
    <x v="2"/>
    <s v="F"/>
    <x v="14"/>
    <x v="0"/>
    <x v="2"/>
    <s v="e_100_m_remolque_de_maniqui_con_aletas_master_60_69_f100 m Remolque de Maniquí con AletasFMáster 60-69100Remolque de Maniquí con Aletas"/>
    <n v="1"/>
  </r>
  <r>
    <s v="e_100_m_remolque_de_maniqui_con_aletas_master_60_69_m"/>
    <x v="2"/>
    <s v="M"/>
    <x v="14"/>
    <x v="0"/>
    <x v="2"/>
    <s v="e_100_m_remolque_de_maniqui_con_aletas_master_60_69_m100 m Remolque de Maniquí con AletasMMáster 60-69100Remolque de Maniquí con Aletas"/>
    <n v="1"/>
  </r>
  <r>
    <s v="e_100_m_remolque_de_maniqui_con_aletas_master_70_74_m"/>
    <x v="2"/>
    <s v="M"/>
    <x v="15"/>
    <x v="0"/>
    <x v="2"/>
    <s v="e_100_m_remolque_de_maniqui_con_aletas_master_70_74_m100 m Remolque de Maniquí con AletasMMáster 70-74100Remolque de Maniquí con Aletas"/>
    <n v="1"/>
  </r>
  <r>
    <s v="e_100_m_socorrista_absoluto_f"/>
    <x v="4"/>
    <s v="F"/>
    <x v="0"/>
    <x v="0"/>
    <x v="4"/>
    <s v="e_100_m_socorrista_absoluto_f100 m SocorristaFAbsoluta100Socorrista"/>
    <n v="1"/>
  </r>
  <r>
    <s v="e_100_m_socorrista_absoluto_m"/>
    <x v="4"/>
    <s v="M"/>
    <x v="0"/>
    <x v="0"/>
    <x v="4"/>
    <s v="e_100_m_socorrista_absoluto_m100 m SocorristaMAbsoluta100Socorrista"/>
    <n v="1"/>
  </r>
  <r>
    <s v="e_100_m_socorrista_infantil_m"/>
    <x v="4"/>
    <s v="M"/>
    <x v="4"/>
    <x v="0"/>
    <x v="4"/>
    <s v="e_100_m_socorrista_infantil_m100 m SocorristaMInfantil100Socorrista"/>
    <n v="1"/>
  </r>
  <r>
    <s v="e_100_m_socorrista_junior_f"/>
    <x v="4"/>
    <s v="F"/>
    <x v="2"/>
    <x v="0"/>
    <x v="4"/>
    <s v="e_100_m_socorrista_junior_f100 m SocorristaFJúnior100Socorrista"/>
    <n v="1"/>
  </r>
  <r>
    <s v="e_100_m_socorrista_junior_m"/>
    <x v="4"/>
    <s v="M"/>
    <x v="2"/>
    <x v="0"/>
    <x v="4"/>
    <s v="e_100_m_socorrista_junior_m100 m SocorristaMJúnior100Socorrista"/>
    <n v="1"/>
  </r>
  <r>
    <s v="e_100_m_socorrista_juvenil_f"/>
    <x v="4"/>
    <s v="F"/>
    <x v="3"/>
    <x v="0"/>
    <x v="4"/>
    <s v="e_100_m_socorrista_juvenil_f100 m SocorristaFJuvenil100Socorrista"/>
    <n v="1"/>
  </r>
  <r>
    <s v="e_100_m_socorrista_juvenil_m"/>
    <x v="4"/>
    <s v="M"/>
    <x v="3"/>
    <x v="0"/>
    <x v="4"/>
    <s v="e_100_m_socorrista_juvenil_m100 m SocorristaMJuvenil100Socorrista"/>
    <n v="1"/>
  </r>
  <r>
    <s v="e_100_m_socorrista_master_30_34_f"/>
    <x v="4"/>
    <s v="F"/>
    <x v="5"/>
    <x v="0"/>
    <x v="4"/>
    <s v="e_100_m_socorrista_master_30_34_f100 m SocorristaFMáster 30-34100Socorrista"/>
    <n v="1"/>
  </r>
  <r>
    <s v="e_100_m_socorrista_master_30_34_m"/>
    <x v="4"/>
    <s v="M"/>
    <x v="5"/>
    <x v="0"/>
    <x v="4"/>
    <s v="e_100_m_socorrista_master_30_34_m100 m SocorristaMMáster 30-34100Socorrista"/>
    <n v="1"/>
  </r>
  <r>
    <s v="e_100_m_socorrista_master_30_39_f"/>
    <x v="4"/>
    <s v="F"/>
    <x v="6"/>
    <x v="0"/>
    <x v="4"/>
    <s v="e_100_m_socorrista_master_30_39_f100 m SocorristaFMáster 30-39100Socorrista"/>
    <n v="1"/>
  </r>
  <r>
    <s v="e_100_m_socorrista_master_30_39_m"/>
    <x v="4"/>
    <s v="M"/>
    <x v="6"/>
    <x v="0"/>
    <x v="4"/>
    <s v="e_100_m_socorrista_master_30_39_m100 m SocorristaMMáster 30-39100Socorrista"/>
    <n v="1"/>
  </r>
  <r>
    <s v="e_100_m_socorrista_master_35_39_f"/>
    <x v="4"/>
    <s v="F"/>
    <x v="7"/>
    <x v="0"/>
    <x v="4"/>
    <s v="e_100_m_socorrista_master_35_39_f100 m SocorristaFMáster 35-39100Socorrista"/>
    <n v="1"/>
  </r>
  <r>
    <s v="e_100_m_socorrista_master_35_39_m"/>
    <x v="4"/>
    <s v="M"/>
    <x v="7"/>
    <x v="0"/>
    <x v="4"/>
    <s v="e_100_m_socorrista_master_35_39_m100 m SocorristaMMáster 35-39100Socorrista"/>
    <n v="1"/>
  </r>
  <r>
    <s v="e_100_m_socorrista_master_40_44_m"/>
    <x v="4"/>
    <s v="M"/>
    <x v="16"/>
    <x v="0"/>
    <x v="4"/>
    <s v="e_100_m_socorrista_master_40_44_m100 m SocorristaMMáster 40-44100Socorrista"/>
    <n v="1"/>
  </r>
  <r>
    <s v="e_100_m_socorrista_master_40_49_f"/>
    <x v="4"/>
    <s v="F"/>
    <x v="8"/>
    <x v="0"/>
    <x v="4"/>
    <s v="e_100_m_socorrista_master_40_49_f100 m SocorristaFMáster 40-49100Socorrista"/>
    <n v="1"/>
  </r>
  <r>
    <s v="e_100_m_socorrista_master_40_49_m"/>
    <x v="4"/>
    <s v="M"/>
    <x v="8"/>
    <x v="0"/>
    <x v="4"/>
    <s v="e_100_m_socorrista_master_40_49_m100 m SocorristaMMáster 40-49100Socorrista"/>
    <n v="1"/>
  </r>
  <r>
    <s v="e_100_m_socorrista_master_45_49_f"/>
    <x v="4"/>
    <s v="F"/>
    <x v="9"/>
    <x v="0"/>
    <x v="4"/>
    <s v="e_100_m_socorrista_master_45_49_f100 m SocorristaFMáster 45-49100Socorrista"/>
    <n v="1"/>
  </r>
  <r>
    <s v="e_100_m_socorrista_master_45_49_m"/>
    <x v="4"/>
    <s v="M"/>
    <x v="9"/>
    <x v="0"/>
    <x v="4"/>
    <s v="e_100_m_socorrista_master_45_49_m100 m SocorristaMMáster 45-49100Socorrista"/>
    <n v="1"/>
  </r>
  <r>
    <s v="e_100_m_socorrista_master_50_54_f"/>
    <x v="4"/>
    <s v="F"/>
    <x v="10"/>
    <x v="0"/>
    <x v="4"/>
    <s v="e_100_m_socorrista_master_50_54_f100 m SocorristaFMáster 50-54100Socorrista"/>
    <n v="1"/>
  </r>
  <r>
    <s v="e_100_m_socorrista_master_50_54_m"/>
    <x v="4"/>
    <s v="M"/>
    <x v="10"/>
    <x v="0"/>
    <x v="4"/>
    <s v="e_100_m_socorrista_master_50_54_m100 m SocorristaMMáster 50-54100Socorrista"/>
    <n v="1"/>
  </r>
  <r>
    <s v="e_100_m_socorrista_master_50_59_f"/>
    <x v="4"/>
    <s v="F"/>
    <x v="11"/>
    <x v="0"/>
    <x v="4"/>
    <s v="e_100_m_socorrista_master_50_59_f100 m SocorristaFMáster 50-59100Socorrista"/>
    <n v="1"/>
  </r>
  <r>
    <s v="e_100_m_socorrista_master_50_59_m"/>
    <x v="4"/>
    <s v="M"/>
    <x v="11"/>
    <x v="0"/>
    <x v="4"/>
    <s v="e_100_m_socorrista_master_50_59_m100 m SocorristaMMáster 50-59100Socorrista"/>
    <n v="1"/>
  </r>
  <r>
    <s v="e_100_m_socorrista_master_55_59_f"/>
    <x v="4"/>
    <s v="F"/>
    <x v="12"/>
    <x v="0"/>
    <x v="4"/>
    <s v="e_100_m_socorrista_master_55_59_f100 m SocorristaFMáster 55-59100Socorrista"/>
    <n v="1"/>
  </r>
  <r>
    <s v="e_100_m_socorrista_master_55_59_m"/>
    <x v="4"/>
    <s v="M"/>
    <x v="12"/>
    <x v="0"/>
    <x v="4"/>
    <s v="e_100_m_socorrista_master_55_59_m100 m SocorristaMMáster 55-59100Socorrista"/>
    <n v="1"/>
  </r>
  <r>
    <s v="e_100_m_socorrista_master_60_64_m"/>
    <x v="4"/>
    <s v="M"/>
    <x v="13"/>
    <x v="0"/>
    <x v="4"/>
    <s v="e_100_m_socorrista_master_60_64_m100 m SocorristaMMáster 60-64100Socorrista"/>
    <n v="1"/>
  </r>
  <r>
    <s v="e_100_m_socorrista_master_60_69_f"/>
    <x v="4"/>
    <s v="F"/>
    <x v="14"/>
    <x v="0"/>
    <x v="4"/>
    <s v="e_100_m_socorrista_master_60_69_f100 m SocorristaFMáster 60-69100Socorrista"/>
    <n v="1"/>
  </r>
  <r>
    <s v="e_100_m_socorrista_master_60_69_m"/>
    <x v="4"/>
    <s v="M"/>
    <x v="14"/>
    <x v="0"/>
    <x v="4"/>
    <s v="e_100_m_socorrista_master_60_69_m100 m SocorristaMMáster 60-69100Socorrista"/>
    <n v="1"/>
  </r>
  <r>
    <s v="e_100_m_socorrista_master_70_74_m"/>
    <x v="4"/>
    <s v="M"/>
    <x v="15"/>
    <x v="0"/>
    <x v="4"/>
    <s v="e_100_m_socorrista_master_70_74_m100 m SocorristaMMáster 70-74100Socorrista"/>
    <n v="1"/>
  </r>
  <r>
    <s v="e_100_m_supersocorrista_absoluto_f"/>
    <x v="5"/>
    <s v="F"/>
    <x v="0"/>
    <x v="0"/>
    <x v="5"/>
    <s v="e_100_m_supersocorrista_absoluto_f100 m SupersocorristaFAbsoluta100Supersocorrista"/>
    <n v="1"/>
  </r>
  <r>
    <s v="e_100_m_supersocorrista_absoluto_m"/>
    <x v="5"/>
    <s v="M"/>
    <x v="0"/>
    <x v="0"/>
    <x v="5"/>
    <s v="e_100_m_supersocorrista_absoluto_m100 m SupersocorristaMAbsoluta100Supersocorrista"/>
    <n v="1"/>
  </r>
  <r>
    <s v="e_100_m_supersocorrista_junior_f"/>
    <x v="5"/>
    <s v="F"/>
    <x v="2"/>
    <x v="0"/>
    <x v="5"/>
    <s v="e_100_m_supersocorrista_junior_f100 m SupersocorristaFJúnior100Supersocorrista"/>
    <n v="1"/>
  </r>
  <r>
    <s v="e_100_m_supersocorrista_junior_m"/>
    <x v="5"/>
    <s v="M"/>
    <x v="2"/>
    <x v="0"/>
    <x v="5"/>
    <s v="e_100_m_supersocorrista_junior_m100 m SupersocorristaMJúnior100Supersocorrista"/>
    <n v="1"/>
  </r>
  <r>
    <s v="e_100_m_supersocorrista_juvenil_f"/>
    <x v="5"/>
    <s v="F"/>
    <x v="3"/>
    <x v="0"/>
    <x v="5"/>
    <s v="e_100_m_supersocorrista_juvenil_f100 m SupersocorristaFJuvenil100Supersocorrista"/>
    <n v="1"/>
  </r>
  <r>
    <s v="e_100_m_supersocorrista_juvenil_m"/>
    <x v="5"/>
    <s v="M"/>
    <x v="3"/>
    <x v="0"/>
    <x v="5"/>
    <s v="e_100_m_supersocorrista_juvenil_m100 m SupersocorristaMJuvenil100Supersocorrista"/>
    <n v="1"/>
  </r>
  <r>
    <s v="e_200_m_natacion_con_obstaculos_absoluto_f"/>
    <x v="6"/>
    <s v="F"/>
    <x v="0"/>
    <x v="1"/>
    <x v="1"/>
    <s v="e_200_m_natacion_con_obstaculos_absoluto_f200 m Natación con ObstáculosFAbsoluta200Natación con Obstáculos"/>
    <n v="1"/>
  </r>
  <r>
    <s v="e_200_m_natacion_con_obstaculos_absoluto_m"/>
    <x v="6"/>
    <s v="M"/>
    <x v="0"/>
    <x v="1"/>
    <x v="1"/>
    <s v="e_200_m_natacion_con_obstaculos_absoluto_m200 m Natación con ObstáculosMAbsoluta200Natación con Obstáculos"/>
    <n v="1"/>
  </r>
  <r>
    <s v="e_200_m_natacion_con_obstaculos_cadete_m"/>
    <x v="6"/>
    <s v="M"/>
    <x v="1"/>
    <x v="1"/>
    <x v="1"/>
    <s v="e_200_m_natacion_con_obstaculos_cadete_m200 m Natación con ObstáculosMCadete200Natación con Obstáculos"/>
    <n v="1"/>
  </r>
  <r>
    <s v="e_200_m_natacion_con_obstaculos_junior_f"/>
    <x v="6"/>
    <s v="F"/>
    <x v="2"/>
    <x v="1"/>
    <x v="1"/>
    <s v="e_200_m_natacion_con_obstaculos_junior_f200 m Natación con ObstáculosFJúnior200Natación con Obstáculos"/>
    <n v="1"/>
  </r>
  <r>
    <s v="e_200_m_natacion_con_obstaculos_junior_m"/>
    <x v="6"/>
    <s v="M"/>
    <x v="2"/>
    <x v="1"/>
    <x v="1"/>
    <s v="e_200_m_natacion_con_obstaculos_junior_m200 m Natación con ObstáculosMJúnior200Natación con Obstáculos"/>
    <n v="1"/>
  </r>
  <r>
    <s v="e_200_m_natacion_con_obstaculos_juvenil_f"/>
    <x v="6"/>
    <s v="F"/>
    <x v="3"/>
    <x v="1"/>
    <x v="1"/>
    <s v="e_200_m_natacion_con_obstaculos_juvenil_f200 m Natación con ObstáculosFJuvenil200Natación con Obstáculos"/>
    <n v="1"/>
  </r>
  <r>
    <s v="e_200_m_natacion_con_obstaculos_juvenil_m"/>
    <x v="6"/>
    <s v="M"/>
    <x v="3"/>
    <x v="1"/>
    <x v="1"/>
    <s v="e_200_m_natacion_con_obstaculos_juvenil_m200 m Natación con ObstáculosMJuvenil200Natación con Obstáculos"/>
    <n v="1"/>
  </r>
  <r>
    <s v="e_200_m_natacion_con_obstaculos_master_30_39_f"/>
    <x v="6"/>
    <s v="F"/>
    <x v="6"/>
    <x v="1"/>
    <x v="1"/>
    <s v="e_200_m_natacion_con_obstaculos_master_30_39_f200 m Natación con ObstáculosFMáster 30-39200Natación con Obstáculos"/>
    <n v="1"/>
  </r>
  <r>
    <s v="e_200_m_natacion_con_obstaculos_master_30_39_m"/>
    <x v="6"/>
    <s v="M"/>
    <x v="6"/>
    <x v="1"/>
    <x v="1"/>
    <s v="e_200_m_natacion_con_obstaculos_master_30_39_m200 m Natación con ObstáculosMMáster 30-39200Natación con Obstáculos"/>
    <n v="1"/>
  </r>
  <r>
    <s v="e_200_m_natacion_con_obstaculos_master_40_49_f"/>
    <x v="6"/>
    <s v="F"/>
    <x v="8"/>
    <x v="1"/>
    <x v="1"/>
    <s v="e_200_m_natacion_con_obstaculos_master_40_49_f200 m Natación con ObstáculosFMáster 40-49200Natación con Obstáculos"/>
    <n v="1"/>
  </r>
  <r>
    <s v="e_200_m_natacion_con_obstaculos_master_40_49_m"/>
    <x v="6"/>
    <s v="M"/>
    <x v="8"/>
    <x v="1"/>
    <x v="1"/>
    <s v="e_200_m_natacion_con_obstaculos_master_40_49_m200 m Natación con ObstáculosMMáster 40-49200Natación con Obstáculos"/>
    <n v="1"/>
  </r>
  <r>
    <s v="e_200_m_supersocorrista_absoluto_f"/>
    <x v="7"/>
    <s v="F"/>
    <x v="0"/>
    <x v="1"/>
    <x v="5"/>
    <s v="e_200_m_supersocorrista_absoluto_f200 m SupersocorristaFAbsoluta200Supersocorrista"/>
    <n v="1"/>
  </r>
  <r>
    <s v="e_200_m_supersocorrista_absoluto_m"/>
    <x v="7"/>
    <s v="M"/>
    <x v="0"/>
    <x v="1"/>
    <x v="5"/>
    <s v="e_200_m_supersocorrista_absoluto_m200 m SupersocorristaMAbsoluta200Supersocorrista"/>
    <n v="1"/>
  </r>
  <r>
    <s v="e_200_m_supersocorrista_cadete_m"/>
    <x v="7"/>
    <s v="M"/>
    <x v="1"/>
    <x v="1"/>
    <x v="5"/>
    <s v="e_200_m_supersocorrista_cadete_m200 m SupersocorristaMCadete200Supersocorrista"/>
    <n v="1"/>
  </r>
  <r>
    <s v="e_200_m_supersocorrista_junior_f"/>
    <x v="7"/>
    <s v="F"/>
    <x v="2"/>
    <x v="1"/>
    <x v="5"/>
    <s v="e_200_m_supersocorrista_junior_f200 m SupersocorristaFJúnior200Supersocorrista"/>
    <n v="1"/>
  </r>
  <r>
    <s v="e_200_m_supersocorrista_junior_m"/>
    <x v="7"/>
    <s v="M"/>
    <x v="2"/>
    <x v="1"/>
    <x v="5"/>
    <s v="e_200_m_supersocorrista_junior_m200 m SupersocorristaMJúnior200Supersocorrista"/>
    <n v="1"/>
  </r>
  <r>
    <s v="e_200_m_supersocorrista_juvenil_f"/>
    <x v="7"/>
    <s v="F"/>
    <x v="3"/>
    <x v="1"/>
    <x v="5"/>
    <s v="e_200_m_supersocorrista_juvenil_f200 m SupersocorristaFJuvenil200Supersocorrista"/>
    <n v="1"/>
  </r>
  <r>
    <s v="e_200_m_supersocorrista_juvenil_m"/>
    <x v="7"/>
    <s v="M"/>
    <x v="3"/>
    <x v="1"/>
    <x v="5"/>
    <s v="e_200_m_supersocorrista_juvenil_m200 m SupersocorristaMJuvenil200Supersocorrista"/>
    <n v="1"/>
  </r>
  <r>
    <s v="e_25_m_remolque_de_maniqui_absoluto_f"/>
    <x v="8"/>
    <s v="F"/>
    <x v="0"/>
    <x v="2"/>
    <x v="6"/>
    <s v="e_25_m_remolque_de_maniqui_absoluto_f25 m Remolque de ManiquíFAbsoluta25Remolque de Maniquí"/>
    <n v="1"/>
  </r>
  <r>
    <s v="e_25_m_remolque_de_maniqui_absoluto_m"/>
    <x v="8"/>
    <s v="M"/>
    <x v="0"/>
    <x v="2"/>
    <x v="6"/>
    <s v="e_25_m_remolque_de_maniqui_absoluto_m25 m Remolque de ManiquíMAbsoluta25Remolque de Maniquí"/>
    <n v="1"/>
  </r>
  <r>
    <s v="e_25_m_remolque_de_maniqui_junior_f"/>
    <x v="8"/>
    <s v="F"/>
    <x v="2"/>
    <x v="2"/>
    <x v="6"/>
    <s v="e_25_m_remolque_de_maniqui_junior_f25 m Remolque de ManiquíFJúnior25Remolque de Maniquí"/>
    <n v="1"/>
  </r>
  <r>
    <s v="e_25_m_remolque_de_maniqui_junior_m"/>
    <x v="8"/>
    <s v="M"/>
    <x v="2"/>
    <x v="2"/>
    <x v="6"/>
    <s v="e_25_m_remolque_de_maniqui_junior_m25 m Remolque de ManiquíMJúnior25Remolque de Maniquí"/>
    <n v="1"/>
  </r>
  <r>
    <s v="e_25_m_remolque_de_maniqui_juvenil_m"/>
    <x v="8"/>
    <s v="M"/>
    <x v="3"/>
    <x v="2"/>
    <x v="6"/>
    <s v="e_25_m_remolque_de_maniqui_juvenil_m25 m Remolque de ManiquíMJuvenil25Remolque de Maniquí"/>
    <n v="1"/>
  </r>
  <r>
    <s v="e_4x12_5_m_relevo_remolque_de_maniqui_absoluto_f"/>
    <x v="9"/>
    <s v="F"/>
    <x v="0"/>
    <x v="3"/>
    <x v="7"/>
    <s v="e_4x12_5_m_relevo_remolque_de_maniqui_absoluto_f4x12,5 m Relevo Remolque de ManiquíFAbsoluta4x12,5Relevo Remolque de Maniquí"/>
    <n v="1"/>
  </r>
  <r>
    <s v="e_4x12_5_m_relevo_remolque_de_maniqui_absoluto_m"/>
    <x v="9"/>
    <s v="M"/>
    <x v="0"/>
    <x v="3"/>
    <x v="7"/>
    <s v="e_4x12_5_m_relevo_remolque_de_maniqui_absoluto_m4x12,5 m Relevo Remolque de ManiquíMAbsoluta4x12,5Relevo Remolque de Maniquí"/>
    <n v="1"/>
  </r>
  <r>
    <s v="e_4x25_m_relevo_combinado_absoluto_f"/>
    <x v="10"/>
    <s v="F"/>
    <x v="0"/>
    <x v="4"/>
    <x v="8"/>
    <s v="e_4x25_m_relevo_combinado_absoluto_f4x25 m Relevo CombinadoFAbsoluta4x25Relevo Combinado"/>
    <n v="1"/>
  </r>
  <r>
    <s v="e_4x25_m_relevo_combinado_absoluto_m"/>
    <x v="10"/>
    <s v="M"/>
    <x v="0"/>
    <x v="4"/>
    <x v="8"/>
    <s v="e_4x25_m_relevo_combinado_absoluto_m4x25 m Relevo CombinadoMAbsoluta4x25Relevo Combinado"/>
    <n v="1"/>
  </r>
  <r>
    <s v="e_4x25_m_relevo_natacion_con_obstaculos_absoluto_f"/>
    <x v="11"/>
    <s v="F"/>
    <x v="0"/>
    <x v="4"/>
    <x v="9"/>
    <s v="e_4x25_m_relevo_natacion_con_obstaculos_absoluto_f4x25 m Relevo Natación con ObstáculosFAbsoluta4x25Relevo Natación con Obstáculos"/>
    <n v="1"/>
  </r>
  <r>
    <s v="e_4x25_m_relevo_natacion_con_obstaculos_absoluto_m"/>
    <x v="11"/>
    <s v="M"/>
    <x v="0"/>
    <x v="4"/>
    <x v="9"/>
    <s v="e_4x25_m_relevo_natacion_con_obstaculos_absoluto_m4x25 m Relevo Natación con ObstáculosMAbsoluta4x25Relevo Natación con Obstáculos"/>
    <n v="1"/>
  </r>
  <r>
    <s v="e_4x25_m_relevo_remolque_de_maniqui_absoluto_f"/>
    <x v="12"/>
    <s v="F"/>
    <x v="0"/>
    <x v="4"/>
    <x v="7"/>
    <s v="e_4x25_m_relevo_remolque_de_maniqui_absoluto_f4x25 m Relevo Remolque de ManiquíFAbsoluta4x25Relevo Remolque de Maniquí"/>
    <n v="1"/>
  </r>
  <r>
    <s v="e_4x25_m_relevo_remolque_de_maniqui_absoluto_m"/>
    <x v="12"/>
    <s v="M"/>
    <x v="0"/>
    <x v="4"/>
    <x v="7"/>
    <s v="e_4x25_m_relevo_remolque_de_maniqui_absoluto_m4x25 m Relevo Remolque de ManiquíMAbsoluta4x25Relevo Remolque de Maniquí"/>
    <n v="1"/>
  </r>
  <r>
    <s v="e_4x25_m_relevo_remolque_de_maniqui_junior_f"/>
    <x v="12"/>
    <s v="F"/>
    <x v="2"/>
    <x v="4"/>
    <x v="7"/>
    <s v="e_4x25_m_relevo_remolque_de_maniqui_junior_f4x25 m Relevo Remolque de ManiquíFJúnior4x25Relevo Remolque de Maniquí"/>
    <n v="1"/>
  </r>
  <r>
    <s v="e_4x25_m_relevo_remolque_de_maniqui_junior_m"/>
    <x v="12"/>
    <s v="M"/>
    <x v="2"/>
    <x v="4"/>
    <x v="7"/>
    <s v="e_4x25_m_relevo_remolque_de_maniqui_junior_m4x25 m Relevo Remolque de ManiquíMJúnior4x25Relevo Remolque de Maniquí"/>
    <n v="1"/>
  </r>
  <r>
    <s v="e_4x25_m_relevo_remolque_de_maniqui_master_r4_120_f"/>
    <x v="12"/>
    <s v="F"/>
    <x v="17"/>
    <x v="4"/>
    <x v="7"/>
    <s v="e_4x25_m_relevo_remolque_de_maniqui_master_r4_120_f4x25 m Relevo Remolque de ManiquíFMáster R4 +1204x25Relevo Remolque de Maniquí"/>
    <n v="1"/>
  </r>
  <r>
    <s v="e_4x25_m_relevo_remolque_de_maniqui_master_r4_120_m"/>
    <x v="12"/>
    <s v="M"/>
    <x v="17"/>
    <x v="4"/>
    <x v="7"/>
    <s v="e_4x25_m_relevo_remolque_de_maniqui_master_r4_120_m4x25 m Relevo Remolque de ManiquíMMáster R4 +1204x25Relevo Remolque de Maniquí"/>
    <n v="1"/>
  </r>
  <r>
    <s v="e_4x25_m_relevo_remolque_de_maniqui_master_r4_140_f"/>
    <x v="12"/>
    <s v="F"/>
    <x v="18"/>
    <x v="4"/>
    <x v="7"/>
    <s v="e_4x25_m_relevo_remolque_de_maniqui_master_r4_140_f4x25 m Relevo Remolque de ManiquíFMáster R4 +1404x25Relevo Remolque de Maniquí"/>
    <n v="1"/>
  </r>
  <r>
    <s v="e_4x25_m_relevo_remolque_de_maniqui_master_r4_140_m"/>
    <x v="12"/>
    <s v="M"/>
    <x v="18"/>
    <x v="4"/>
    <x v="7"/>
    <s v="e_4x25_m_relevo_remolque_de_maniqui_master_r4_140_m4x25 m Relevo Remolque de ManiquíMMáster R4 +1404x25Relevo Remolque de Maniquí"/>
    <n v="1"/>
  </r>
  <r>
    <s v="e_4x25_m_relevo_remolque_de_maniqui_master_r4_170_f"/>
    <x v="12"/>
    <s v="F"/>
    <x v="19"/>
    <x v="4"/>
    <x v="7"/>
    <s v="e_4x25_m_relevo_remolque_de_maniqui_master_r4_170_f4x25 m Relevo Remolque de ManiquíFMáster R4 +1704x25Relevo Remolque de Maniquí"/>
    <n v="1"/>
  </r>
  <r>
    <s v="e_4x25_m_relevo_remolque_de_maniqui_master_r4_170_m"/>
    <x v="12"/>
    <s v="M"/>
    <x v="19"/>
    <x v="4"/>
    <x v="7"/>
    <s v="e_4x25_m_relevo_remolque_de_maniqui_master_r4_170_m4x25 m Relevo Remolque de ManiquíMMáster R4 +1704x25Relevo Remolque de Maniquí"/>
    <n v="1"/>
  </r>
  <r>
    <s v="e_4x25_m_relevo_remolque_de_maniqui_master_r4_200_f"/>
    <x v="12"/>
    <s v="F"/>
    <x v="20"/>
    <x v="4"/>
    <x v="7"/>
    <s v="e_4x25_m_relevo_remolque_de_maniqui_master_r4_200_f4x25 m Relevo Remolque de ManiquíFMáster R4 +2004x25Relevo Remolque de Maniquí"/>
    <n v="1"/>
  </r>
  <r>
    <s v="e_4x25_m_relevo_remolque_de_maniqui_master_r4_200_m"/>
    <x v="12"/>
    <s v="M"/>
    <x v="20"/>
    <x v="4"/>
    <x v="7"/>
    <s v="e_4x25_m_relevo_remolque_de_maniqui_master_r4_200_m4x25 m Relevo Remolque de ManiquíMMáster R4 +2004x25Relevo Remolque de Maniquí"/>
    <n v="1"/>
  </r>
  <r>
    <s v="e_4x25_m_relevo_remolque_de_maniqui_master_r4_230_m"/>
    <x v="12"/>
    <s v="M"/>
    <x v="21"/>
    <x v="4"/>
    <x v="7"/>
    <s v="e_4x25_m_relevo_remolque_de_maniqui_master_r4_230_m4x25 m Relevo Remolque de ManiquíMMáster R4 +2304x25Relevo Remolque de Maniquí"/>
    <n v="1"/>
  </r>
  <r>
    <s v="e_4x25_m_relevo_socorrista_absoluto_x"/>
    <x v="13"/>
    <s v="X"/>
    <x v="0"/>
    <x v="4"/>
    <x v="10"/>
    <s v="e_4x25_m_relevo_socorrista_absoluto_x4x25 m Relevo SocorristaXAbsoluta4x25Relevo Socorrista"/>
    <n v="1"/>
  </r>
  <r>
    <s v="e_4x50_m_relevo_combinado_absoluto_f"/>
    <x v="14"/>
    <s v="F"/>
    <x v="0"/>
    <x v="5"/>
    <x v="8"/>
    <s v="e_4x50_m_relevo_combinado_absoluto_f4x50 m Relevo CombinadoFAbsoluta4x50Relevo Combinado"/>
    <n v="1"/>
  </r>
  <r>
    <s v="e_4x50_m_relevo_combinado_absoluto_m"/>
    <x v="14"/>
    <s v="M"/>
    <x v="0"/>
    <x v="5"/>
    <x v="8"/>
    <s v="e_4x50_m_relevo_combinado_absoluto_m4x50 m Relevo CombinadoMAbsoluta4x50Relevo Combinado"/>
    <n v="1"/>
  </r>
  <r>
    <s v="e_4x50_m_relevo_combinado_cadete_m"/>
    <x v="14"/>
    <s v="M"/>
    <x v="1"/>
    <x v="5"/>
    <x v="8"/>
    <s v="e_4x50_m_relevo_combinado_cadete_m4x50 m Relevo CombinadoMCadete4x50Relevo Combinado"/>
    <n v="1"/>
  </r>
  <r>
    <s v="e_4x50_m_relevo_combinado_junior_f"/>
    <x v="14"/>
    <s v="F"/>
    <x v="2"/>
    <x v="5"/>
    <x v="8"/>
    <s v="e_4x50_m_relevo_combinado_junior_f4x50 m Relevo CombinadoFJúnior4x50Relevo Combinado"/>
    <n v="1"/>
  </r>
  <r>
    <s v="e_4x50_m_relevo_combinado_junior_m"/>
    <x v="14"/>
    <s v="M"/>
    <x v="2"/>
    <x v="5"/>
    <x v="8"/>
    <s v="e_4x50_m_relevo_combinado_junior_m4x50 m Relevo CombinadoMJúnior4x50Relevo Combinado"/>
    <n v="1"/>
  </r>
  <r>
    <s v="e_4x50_m_relevo_combinado_master_r4_120_f"/>
    <x v="14"/>
    <s v="F"/>
    <x v="17"/>
    <x v="5"/>
    <x v="8"/>
    <s v="e_4x50_m_relevo_combinado_master_r4_120_f4x50 m Relevo CombinadoFMáster R4 +1204x50Relevo Combinado"/>
    <n v="1"/>
  </r>
  <r>
    <s v="e_4x50_m_relevo_combinado_master_r4_120_m"/>
    <x v="14"/>
    <s v="M"/>
    <x v="17"/>
    <x v="5"/>
    <x v="8"/>
    <s v="e_4x50_m_relevo_combinado_master_r4_120_m4x50 m Relevo CombinadoMMáster R4 +1204x50Relevo Combinado"/>
    <n v="1"/>
  </r>
  <r>
    <s v="e_4x50_m_relevo_combinado_master_r4_140_f"/>
    <x v="14"/>
    <s v="F"/>
    <x v="18"/>
    <x v="5"/>
    <x v="8"/>
    <s v="e_4x50_m_relevo_combinado_master_r4_140_f4x50 m Relevo CombinadoFMáster R4 +1404x50Relevo Combinado"/>
    <n v="1"/>
  </r>
  <r>
    <s v="e_4x50_m_relevo_combinado_master_r4_140_m"/>
    <x v="14"/>
    <s v="M"/>
    <x v="18"/>
    <x v="5"/>
    <x v="8"/>
    <s v="e_4x50_m_relevo_combinado_master_r4_140_m4x50 m Relevo CombinadoMMáster R4 +1404x50Relevo Combinado"/>
    <n v="1"/>
  </r>
  <r>
    <s v="e_4x50_m_relevo_combinado_master_r4_170_f"/>
    <x v="14"/>
    <s v="F"/>
    <x v="19"/>
    <x v="5"/>
    <x v="8"/>
    <s v="e_4x50_m_relevo_combinado_master_r4_170_f4x50 m Relevo CombinadoFMáster R4 +1704x50Relevo Combinado"/>
    <n v="1"/>
  </r>
  <r>
    <s v="e_4x50_m_relevo_combinado_master_r4_170_m"/>
    <x v="14"/>
    <s v="M"/>
    <x v="19"/>
    <x v="5"/>
    <x v="8"/>
    <s v="e_4x50_m_relevo_combinado_master_r4_170_m4x50 m Relevo CombinadoMMáster R4 +1704x50Relevo Combinado"/>
    <n v="1"/>
  </r>
  <r>
    <s v="e_4x50_m_relevo_combinado_master_r4_200_f"/>
    <x v="14"/>
    <s v="F"/>
    <x v="20"/>
    <x v="5"/>
    <x v="8"/>
    <s v="e_4x50_m_relevo_combinado_master_r4_200_f4x50 m Relevo CombinadoFMáster R4 +2004x50Relevo Combinado"/>
    <n v="1"/>
  </r>
  <r>
    <s v="e_4x50_m_relevo_combinado_master_r4_200_m"/>
    <x v="14"/>
    <s v="M"/>
    <x v="20"/>
    <x v="5"/>
    <x v="8"/>
    <s v="e_4x50_m_relevo_combinado_master_r4_200_m4x50 m Relevo CombinadoMMáster R4 +2004x50Relevo Combinado"/>
    <n v="1"/>
  </r>
  <r>
    <s v="e_4x50_m_relevo_combinado_master_r4_230_m"/>
    <x v="14"/>
    <s v="M"/>
    <x v="21"/>
    <x v="5"/>
    <x v="8"/>
    <s v="e_4x50_m_relevo_combinado_master_r4_230_m4x50 m Relevo CombinadoMMáster R4 +2304x50Relevo Combinado"/>
    <n v="1"/>
  </r>
  <r>
    <s v="e_4x50_m_relevo_natacion_con_aletas_cadete_m"/>
    <x v="15"/>
    <s v="M"/>
    <x v="1"/>
    <x v="5"/>
    <x v="11"/>
    <s v="e_4x50_m_relevo_natacion_con_aletas_cadete_m4x50 m Relevo Natación con AletasMCadete4x50Relevo Natación con Aletas"/>
    <n v="1"/>
  </r>
  <r>
    <s v="e_4x50_m_relevo_natacion_con_obstaculos_absoluto_f"/>
    <x v="16"/>
    <s v="F"/>
    <x v="0"/>
    <x v="5"/>
    <x v="9"/>
    <s v="e_4x50_m_relevo_natacion_con_obstaculos_absoluto_f4x50 m Relevo Natación con ObstáculosFAbsoluta4x50Relevo Natación con Obstáculos"/>
    <n v="1"/>
  </r>
  <r>
    <s v="e_4x50_m_relevo_natacion_con_obstaculos_absoluto_m"/>
    <x v="16"/>
    <s v="M"/>
    <x v="0"/>
    <x v="5"/>
    <x v="9"/>
    <s v="e_4x50_m_relevo_natacion_con_obstaculos_absoluto_m4x50 m Relevo Natación con ObstáculosMAbsoluta4x50Relevo Natación con Obstáculos"/>
    <n v="1"/>
  </r>
  <r>
    <s v="e_4x50_m_relevo_natacion_con_obstaculos_cadete_m"/>
    <x v="16"/>
    <s v="M"/>
    <x v="1"/>
    <x v="5"/>
    <x v="9"/>
    <s v="e_4x50_m_relevo_natacion_con_obstaculos_cadete_m4x50 m Relevo Natación con ObstáculosMCadete4x50Relevo Natación con Obstáculos"/>
    <n v="1"/>
  </r>
  <r>
    <s v="e_4x50_m_relevo_natacion_con_obstaculos_junior_f"/>
    <x v="16"/>
    <s v="F"/>
    <x v="2"/>
    <x v="5"/>
    <x v="9"/>
    <s v="e_4x50_m_relevo_natacion_con_obstaculos_junior_f4x50 m Relevo Natación con ObstáculosFJúnior4x50Relevo Natación con Obstáculos"/>
    <n v="1"/>
  </r>
  <r>
    <s v="e_4x50_m_relevo_natacion_con_obstaculos_junior_m"/>
    <x v="16"/>
    <s v="M"/>
    <x v="2"/>
    <x v="5"/>
    <x v="9"/>
    <s v="e_4x50_m_relevo_natacion_con_obstaculos_junior_m4x50 m Relevo Natación con ObstáculosMJúnior4x50Relevo Natación con Obstáculos"/>
    <n v="1"/>
  </r>
  <r>
    <s v="e_4x50_m_relevo_natacion_con_obstaculos_master_r4_120_f"/>
    <x v="16"/>
    <s v="F"/>
    <x v="17"/>
    <x v="5"/>
    <x v="9"/>
    <s v="e_4x50_m_relevo_natacion_con_obstaculos_master_r4_120_f4x50 m Relevo Natación con ObstáculosFMáster R4 +1204x50Relevo Natación con Obstáculos"/>
    <n v="1"/>
  </r>
  <r>
    <s v="e_4x50_m_relevo_natacion_con_obstaculos_master_r4_120_m"/>
    <x v="16"/>
    <s v="M"/>
    <x v="17"/>
    <x v="5"/>
    <x v="9"/>
    <s v="e_4x50_m_relevo_natacion_con_obstaculos_master_r4_120_m4x50 m Relevo Natación con ObstáculosMMáster R4 +1204x50Relevo Natación con Obstáculos"/>
    <n v="1"/>
  </r>
  <r>
    <s v="e_4x50_m_relevo_natacion_con_obstaculos_master_r4_140_f"/>
    <x v="16"/>
    <s v="F"/>
    <x v="18"/>
    <x v="5"/>
    <x v="9"/>
    <s v="e_4x50_m_relevo_natacion_con_obstaculos_master_r4_140_f4x50 m Relevo Natación con ObstáculosFMáster R4 +1404x50Relevo Natación con Obstáculos"/>
    <n v="1"/>
  </r>
  <r>
    <s v="e_4x50_m_relevo_natacion_con_obstaculos_master_r4_140_m"/>
    <x v="16"/>
    <s v="M"/>
    <x v="18"/>
    <x v="5"/>
    <x v="9"/>
    <s v="e_4x50_m_relevo_natacion_con_obstaculos_master_r4_140_m4x50 m Relevo Natación con ObstáculosMMáster R4 +1404x50Relevo Natación con Obstáculos"/>
    <n v="1"/>
  </r>
  <r>
    <s v="e_4x50_m_relevo_natacion_con_obstaculos_master_r4_170_f"/>
    <x v="16"/>
    <s v="F"/>
    <x v="19"/>
    <x v="5"/>
    <x v="9"/>
    <s v="e_4x50_m_relevo_natacion_con_obstaculos_master_r4_170_f4x50 m Relevo Natación con ObstáculosFMáster R4 +1704x50Relevo Natación con Obstáculos"/>
    <n v="1"/>
  </r>
  <r>
    <s v="e_4x50_m_relevo_natacion_con_obstaculos_master_r4_170_m"/>
    <x v="16"/>
    <s v="M"/>
    <x v="19"/>
    <x v="5"/>
    <x v="9"/>
    <s v="e_4x50_m_relevo_natacion_con_obstaculos_master_r4_170_m4x50 m Relevo Natación con ObstáculosMMáster R4 +1704x50Relevo Natación con Obstáculos"/>
    <n v="1"/>
  </r>
  <r>
    <s v="e_4x50_m_relevo_natacion_con_obstaculos_master_r4_200_f"/>
    <x v="16"/>
    <s v="F"/>
    <x v="20"/>
    <x v="5"/>
    <x v="9"/>
    <s v="e_4x50_m_relevo_natacion_con_obstaculos_master_r4_200_f4x50 m Relevo Natación con ObstáculosFMáster R4 +2004x50Relevo Natación con Obstáculos"/>
    <n v="1"/>
  </r>
  <r>
    <s v="e_4x50_m_relevo_natacion_con_obstaculos_master_r4_200_m"/>
    <x v="16"/>
    <s v="M"/>
    <x v="20"/>
    <x v="5"/>
    <x v="9"/>
    <s v="e_4x50_m_relevo_natacion_con_obstaculos_master_r4_200_m4x50 m Relevo Natación con ObstáculosMMáster R4 +2004x50Relevo Natación con Obstáculos"/>
    <n v="1"/>
  </r>
  <r>
    <s v="e_4x50_m_relevo_natacion_con_obstaculos_master_r4_230_m"/>
    <x v="16"/>
    <s v="M"/>
    <x v="21"/>
    <x v="5"/>
    <x v="9"/>
    <s v="e_4x50_m_relevo_natacion_con_obstaculos_master_r4_230_m4x50 m Relevo Natación con ObstáculosMMáster R4 +2304x50Relevo Natación con Obstáculos"/>
    <n v="1"/>
  </r>
  <r>
    <s v="e_4x50_m_relevo_socorrista_absoluto_x"/>
    <x v="17"/>
    <s v="X"/>
    <x v="0"/>
    <x v="5"/>
    <x v="10"/>
    <s v="e_4x50_m_relevo_socorrista_absoluto_x4x50 m Relevo SocorristaXAbsoluta4x50Relevo Socorrista"/>
    <n v="1"/>
  </r>
  <r>
    <s v="e_4x50_m_relevo_socorrista_junior_x"/>
    <x v="17"/>
    <s v="X"/>
    <x v="2"/>
    <x v="5"/>
    <x v="10"/>
    <s v="e_4x50_m_relevo_socorrista_junior_x4x50 m Relevo SocorristaXJúnior4x50Relevo Socorrista"/>
    <n v="1"/>
  </r>
  <r>
    <s v="e_4x50_m_relevo_socorrista_juvenil_x"/>
    <x v="17"/>
    <s v="X"/>
    <x v="3"/>
    <x v="5"/>
    <x v="10"/>
    <s v="e_4x50_m_relevo_socorrista_juvenil_x4x50 m Relevo SocorristaXJuvenil4x50Relevo Socorrista"/>
    <n v="1"/>
  </r>
  <r>
    <s v="e_50_m_combinada_de_salvamento_absoluto_f"/>
    <x v="18"/>
    <s v="F"/>
    <x v="0"/>
    <x v="6"/>
    <x v="0"/>
    <s v="e_50_m_combinada_de_salvamento_absoluto_f50 m Combinada de SalvamentoFAbsoluta50Combinada de Salvamento"/>
    <n v="1"/>
  </r>
  <r>
    <s v="e_50_m_combinada_de_salvamento_absoluto_m"/>
    <x v="18"/>
    <s v="M"/>
    <x v="0"/>
    <x v="6"/>
    <x v="0"/>
    <s v="e_50_m_combinada_de_salvamento_absoluto_m50 m Combinada de SalvamentoMAbsoluta50Combinada de Salvamento"/>
    <n v="1"/>
  </r>
  <r>
    <s v="e_50_m_combinada_de_salvamento_junior_f"/>
    <x v="18"/>
    <s v="F"/>
    <x v="2"/>
    <x v="6"/>
    <x v="0"/>
    <s v="e_50_m_combinada_de_salvamento_junior_f50 m Combinada de SalvamentoFJúnior50Combinada de Salvamento"/>
    <n v="1"/>
  </r>
  <r>
    <s v="e_50_m_combinada_de_salvamento_junior_m"/>
    <x v="18"/>
    <s v="M"/>
    <x v="2"/>
    <x v="6"/>
    <x v="0"/>
    <s v="e_50_m_combinada_de_salvamento_junior_m50 m Combinada de SalvamentoMJúnior50Combinada de Salvamento"/>
    <n v="1"/>
  </r>
  <r>
    <s v="e_50_m_combinada_de_salvamento_juvenil_f"/>
    <x v="18"/>
    <s v="F"/>
    <x v="3"/>
    <x v="6"/>
    <x v="0"/>
    <s v="e_50_m_combinada_de_salvamento_juvenil_f50 m Combinada de SalvamentoFJuvenil50Combinada de Salvamento"/>
    <n v="1"/>
  </r>
  <r>
    <s v="e_50_m_combinada_de_salvamento_juvenil_m"/>
    <x v="18"/>
    <s v="M"/>
    <x v="3"/>
    <x v="6"/>
    <x v="0"/>
    <s v="e_50_m_combinada_de_salvamento_juvenil_m50 m Combinada de SalvamentoMJuvenil50Combinada de Salvamento"/>
    <n v="1"/>
  </r>
  <r>
    <s v="e_50_m_natacion_con_obstaculos_absoluto_f"/>
    <x v="19"/>
    <s v="F"/>
    <x v="0"/>
    <x v="6"/>
    <x v="1"/>
    <s v="e_50_m_natacion_con_obstaculos_absoluto_f50 m Natación con ObstáculosFAbsoluta50Natación con Obstáculos"/>
    <n v="1"/>
  </r>
  <r>
    <s v="e_50_m_natacion_con_obstaculos_absoluto_m"/>
    <x v="19"/>
    <s v="M"/>
    <x v="0"/>
    <x v="6"/>
    <x v="1"/>
    <s v="e_50_m_natacion_con_obstaculos_absoluto_m50 m Natación con ObstáculosMAbsoluta50Natación con Obstáculos"/>
    <n v="1"/>
  </r>
  <r>
    <s v="e_50_m_natacion_con_obstaculos_junior_f"/>
    <x v="19"/>
    <s v="F"/>
    <x v="2"/>
    <x v="6"/>
    <x v="1"/>
    <s v="e_50_m_natacion_con_obstaculos_junior_f50 m Natación con ObstáculosFJúnior50Natación con Obstáculos"/>
    <n v="1"/>
  </r>
  <r>
    <s v="e_50_m_natacion_con_obstaculos_junior_m"/>
    <x v="19"/>
    <s v="M"/>
    <x v="2"/>
    <x v="6"/>
    <x v="1"/>
    <s v="e_50_m_natacion_con_obstaculos_junior_m50 m Natación con ObstáculosMJúnior50Natación con Obstáculos"/>
    <n v="1"/>
  </r>
  <r>
    <s v="e_50_m_natacion_con_obstaculos_juvenil_f"/>
    <x v="19"/>
    <s v="F"/>
    <x v="3"/>
    <x v="6"/>
    <x v="1"/>
    <s v="e_50_m_natacion_con_obstaculos_juvenil_f50 m Natación con ObstáculosFJuvenil50Natación con Obstáculos"/>
    <n v="1"/>
  </r>
  <r>
    <s v="e_50_m_natacion_con_obstaculos_juvenil_m"/>
    <x v="19"/>
    <s v="M"/>
    <x v="3"/>
    <x v="6"/>
    <x v="1"/>
    <s v="e_50_m_natacion_con_obstaculos_juvenil_m50 m Natación con ObstáculosMJuvenil50Natación con Obstáculos"/>
    <n v="1"/>
  </r>
  <r>
    <s v="e_50_m_remolque_de_maniqui_absoluto_f"/>
    <x v="20"/>
    <s v="F"/>
    <x v="0"/>
    <x v="6"/>
    <x v="6"/>
    <s v="e_50_m_remolque_de_maniqui_absoluto_f50 m Remolque de ManiquíFAbsoluta50Remolque de Maniquí"/>
    <n v="1"/>
  </r>
  <r>
    <s v="e_50_m_remolque_de_maniqui_absoluto_m"/>
    <x v="20"/>
    <s v="M"/>
    <x v="0"/>
    <x v="6"/>
    <x v="6"/>
    <s v="e_50_m_remolque_de_maniqui_absoluto_m50 m Remolque de ManiquíMAbsoluta50Remolque de Maniquí"/>
    <n v="1"/>
  </r>
  <r>
    <s v="e_50_m_remolque_de_maniqui_cadete_m"/>
    <x v="20"/>
    <s v="M"/>
    <x v="1"/>
    <x v="6"/>
    <x v="6"/>
    <s v="e_50_m_remolque_de_maniqui_cadete_m50 m Remolque de ManiquíMCadete50Remolque de Maniquí"/>
    <n v="1"/>
  </r>
  <r>
    <s v="e_50_m_remolque_de_maniqui_con_aletas_absoluto_f"/>
    <x v="21"/>
    <s v="F"/>
    <x v="0"/>
    <x v="6"/>
    <x v="2"/>
    <s v="e_50_m_remolque_de_maniqui_con_aletas_absoluto_f50 m Remolque de Maniquí con AletasFAbsoluta50Remolque de Maniquí con Aletas"/>
    <n v="1"/>
  </r>
  <r>
    <s v="e_50_m_remolque_de_maniqui_con_aletas_absoluto_m"/>
    <x v="21"/>
    <s v="M"/>
    <x v="0"/>
    <x v="6"/>
    <x v="2"/>
    <s v="e_50_m_remolque_de_maniqui_con_aletas_absoluto_m50 m Remolque de Maniquí con AletasMAbsoluta50Remolque de Maniquí con Aletas"/>
    <n v="1"/>
  </r>
  <r>
    <s v="e_50_m_remolque_de_maniqui_con_aletas_junior_f"/>
    <x v="21"/>
    <s v="F"/>
    <x v="2"/>
    <x v="6"/>
    <x v="2"/>
    <s v="e_50_m_remolque_de_maniqui_con_aletas_junior_f50 m Remolque de Maniquí con AletasFJúnior50Remolque de Maniquí con Aletas"/>
    <n v="1"/>
  </r>
  <r>
    <s v="e_50_m_remolque_de_maniqui_con_aletas_junior_m"/>
    <x v="21"/>
    <s v="M"/>
    <x v="2"/>
    <x v="6"/>
    <x v="2"/>
    <s v="e_50_m_remolque_de_maniqui_con_aletas_junior_m50 m Remolque de Maniquí con AletasMJúnior50Remolque de Maniquí con Aletas"/>
    <n v="1"/>
  </r>
  <r>
    <s v="e_50_m_remolque_de_maniqui_con_aletas_juvenil_f"/>
    <x v="21"/>
    <s v="F"/>
    <x v="3"/>
    <x v="6"/>
    <x v="2"/>
    <s v="e_50_m_remolque_de_maniqui_con_aletas_juvenil_f50 m Remolque de Maniquí con AletasFJuvenil50Remolque de Maniquí con Aletas"/>
    <n v="1"/>
  </r>
  <r>
    <s v="e_50_m_remolque_de_maniqui_con_aletas_juvenil_m"/>
    <x v="21"/>
    <s v="M"/>
    <x v="3"/>
    <x v="6"/>
    <x v="2"/>
    <s v="e_50_m_remolque_de_maniqui_con_aletas_juvenil_m50 m Remolque de Maniquí con AletasMJuvenil50Remolque de Maniquí con Aletas"/>
    <n v="1"/>
  </r>
  <r>
    <s v="e_50_m_remolque_de_maniqui_infantil_m"/>
    <x v="20"/>
    <s v="M"/>
    <x v="4"/>
    <x v="6"/>
    <x v="6"/>
    <s v="e_50_m_remolque_de_maniqui_infantil_m50 m Remolque de ManiquíMInfantil50Remolque de Maniquí"/>
    <n v="1"/>
  </r>
  <r>
    <s v="e_50_m_remolque_de_maniqui_junior_f"/>
    <x v="20"/>
    <s v="F"/>
    <x v="2"/>
    <x v="6"/>
    <x v="6"/>
    <s v="e_50_m_remolque_de_maniqui_junior_f50 m Remolque de ManiquíFJúnior50Remolque de Maniquí"/>
    <n v="1"/>
  </r>
  <r>
    <s v="e_50_m_remolque_de_maniqui_junior_m"/>
    <x v="20"/>
    <s v="M"/>
    <x v="2"/>
    <x v="6"/>
    <x v="6"/>
    <s v="e_50_m_remolque_de_maniqui_junior_m50 m Remolque de ManiquíMJúnior50Remolque de Maniquí"/>
    <n v="1"/>
  </r>
  <r>
    <s v="e_50_m_remolque_de_maniqui_juvenil_f"/>
    <x v="20"/>
    <s v="F"/>
    <x v="3"/>
    <x v="6"/>
    <x v="6"/>
    <s v="e_50_m_remolque_de_maniqui_juvenil_f50 m Remolque de ManiquíFJuvenil50Remolque de Maniquí"/>
    <n v="1"/>
  </r>
  <r>
    <s v="e_50_m_remolque_de_maniqui_juvenil_m"/>
    <x v="20"/>
    <s v="M"/>
    <x v="3"/>
    <x v="6"/>
    <x v="6"/>
    <s v="e_50_m_remolque_de_maniqui_juvenil_m50 m Remolque de ManiquíMJuvenil50Remolque de Maniquí"/>
    <n v="1"/>
  </r>
  <r>
    <s v="e_50_m_remolque_de_maniqui_master_30_34_f"/>
    <x v="20"/>
    <s v="F"/>
    <x v="5"/>
    <x v="6"/>
    <x v="6"/>
    <s v="e_50_m_remolque_de_maniqui_master_30_34_f50 m Remolque de ManiquíFMáster 30-3450Remolque de Maniquí"/>
    <n v="1"/>
  </r>
  <r>
    <s v="e_50_m_remolque_de_maniqui_master_30_34_m"/>
    <x v="20"/>
    <s v="M"/>
    <x v="5"/>
    <x v="6"/>
    <x v="6"/>
    <s v="e_50_m_remolque_de_maniqui_master_30_34_m50 m Remolque de ManiquíMMáster 30-3450Remolque de Maniquí"/>
    <n v="1"/>
  </r>
  <r>
    <s v="e_50_m_remolque_de_maniqui_master_30_39_f"/>
    <x v="20"/>
    <s v="F"/>
    <x v="6"/>
    <x v="6"/>
    <x v="6"/>
    <s v="e_50_m_remolque_de_maniqui_master_30_39_f50 m Remolque de ManiquíFMáster 30-3950Remolque de Maniquí"/>
    <n v="1"/>
  </r>
  <r>
    <s v="e_50_m_remolque_de_maniqui_master_30_39_m"/>
    <x v="20"/>
    <s v="M"/>
    <x v="6"/>
    <x v="6"/>
    <x v="6"/>
    <s v="e_50_m_remolque_de_maniqui_master_30_39_m50 m Remolque de ManiquíMMáster 30-3950Remolque de Maniquí"/>
    <n v="1"/>
  </r>
  <r>
    <s v="e_50_m_remolque_de_maniqui_master_35_39_f"/>
    <x v="20"/>
    <s v="F"/>
    <x v="7"/>
    <x v="6"/>
    <x v="6"/>
    <s v="e_50_m_remolque_de_maniqui_master_35_39_f50 m Remolque de ManiquíFMáster 35-3950Remolque de Maniquí"/>
    <n v="1"/>
  </r>
  <r>
    <s v="e_50_m_remolque_de_maniqui_master_35_39_m"/>
    <x v="20"/>
    <s v="M"/>
    <x v="7"/>
    <x v="6"/>
    <x v="6"/>
    <s v="e_50_m_remolque_de_maniqui_master_35_39_m50 m Remolque de ManiquíMMáster 35-3950Remolque de Maniquí"/>
    <n v="1"/>
  </r>
  <r>
    <s v="e_50_m_remolque_de_maniqui_master_40_44_m"/>
    <x v="20"/>
    <s v="M"/>
    <x v="16"/>
    <x v="6"/>
    <x v="6"/>
    <s v="e_50_m_remolque_de_maniqui_master_40_44_m50 m Remolque de ManiquíMMáster 40-4450Remolque de Maniquí"/>
    <n v="1"/>
  </r>
  <r>
    <s v="e_50_m_remolque_de_maniqui_master_40_49_f"/>
    <x v="20"/>
    <s v="F"/>
    <x v="8"/>
    <x v="6"/>
    <x v="6"/>
    <s v="e_50_m_remolque_de_maniqui_master_40_49_f50 m Remolque de ManiquíFMáster 40-4950Remolque de Maniquí"/>
    <n v="1"/>
  </r>
  <r>
    <s v="e_50_m_remolque_de_maniqui_master_40_49_m"/>
    <x v="20"/>
    <s v="M"/>
    <x v="8"/>
    <x v="6"/>
    <x v="6"/>
    <s v="e_50_m_remolque_de_maniqui_master_40_49_m50 m Remolque de ManiquíMMáster 40-4950Remolque de Maniquí"/>
    <n v="1"/>
  </r>
  <r>
    <s v="e_50_m_remolque_de_maniqui_master_45_49_f"/>
    <x v="20"/>
    <s v="F"/>
    <x v="9"/>
    <x v="6"/>
    <x v="6"/>
    <s v="e_50_m_remolque_de_maniqui_master_45_49_f50 m Remolque de ManiquíFMáster 45-4950Remolque de Maniquí"/>
    <n v="1"/>
  </r>
  <r>
    <s v="e_50_m_remolque_de_maniqui_master_45_49_m"/>
    <x v="20"/>
    <s v="M"/>
    <x v="9"/>
    <x v="6"/>
    <x v="6"/>
    <s v="e_50_m_remolque_de_maniqui_master_45_49_m50 m Remolque de ManiquíMMáster 45-4950Remolque de Maniquí"/>
    <n v="1"/>
  </r>
  <r>
    <s v="e_50_m_remolque_de_maniqui_master_50_54_f"/>
    <x v="20"/>
    <s v="F"/>
    <x v="10"/>
    <x v="6"/>
    <x v="6"/>
    <s v="e_50_m_remolque_de_maniqui_master_50_54_f50 m Remolque de ManiquíFMáster 50-5450Remolque de Maniquí"/>
    <n v="1"/>
  </r>
  <r>
    <s v="e_50_m_remolque_de_maniqui_master_50_54_m"/>
    <x v="20"/>
    <s v="M"/>
    <x v="10"/>
    <x v="6"/>
    <x v="6"/>
    <s v="e_50_m_remolque_de_maniqui_master_50_54_m50 m Remolque de ManiquíMMáster 50-5450Remolque de Maniquí"/>
    <n v="1"/>
  </r>
  <r>
    <s v="e_50_m_remolque_de_maniqui_master_50_59_f"/>
    <x v="20"/>
    <s v="F"/>
    <x v="11"/>
    <x v="6"/>
    <x v="6"/>
    <s v="e_50_m_remolque_de_maniqui_master_50_59_f50 m Remolque de ManiquíFMáster 50-5950Remolque de Maniquí"/>
    <n v="1"/>
  </r>
  <r>
    <s v="e_50_m_remolque_de_maniqui_master_50_59_m"/>
    <x v="20"/>
    <s v="M"/>
    <x v="11"/>
    <x v="6"/>
    <x v="6"/>
    <s v="e_50_m_remolque_de_maniqui_master_50_59_m50 m Remolque de ManiquíMMáster 50-5950Remolque de Maniquí"/>
    <n v="1"/>
  </r>
  <r>
    <s v="e_50_m_remolque_de_maniqui_master_55_59_f"/>
    <x v="20"/>
    <s v="F"/>
    <x v="12"/>
    <x v="6"/>
    <x v="6"/>
    <s v="e_50_m_remolque_de_maniqui_master_55_59_f50 m Remolque de ManiquíFMáster 55-5950Remolque de Maniquí"/>
    <n v="1"/>
  </r>
  <r>
    <s v="e_50_m_remolque_de_maniqui_master_55_59_m"/>
    <x v="20"/>
    <s v="M"/>
    <x v="12"/>
    <x v="6"/>
    <x v="6"/>
    <s v="e_50_m_remolque_de_maniqui_master_55_59_m50 m Remolque de ManiquíMMáster 55-5950Remolque de Maniquí"/>
    <n v="1"/>
  </r>
  <r>
    <s v="e_50_m_remolque_de_maniqui_master_60_64_m"/>
    <x v="20"/>
    <s v="M"/>
    <x v="13"/>
    <x v="6"/>
    <x v="6"/>
    <s v="e_50_m_remolque_de_maniqui_master_60_64_m50 m Remolque de ManiquíMMáster 60-6450Remolque de Maniquí"/>
    <n v="1"/>
  </r>
  <r>
    <s v="e_50_m_remolque_de_maniqui_master_60_69_f"/>
    <x v="20"/>
    <s v="F"/>
    <x v="14"/>
    <x v="6"/>
    <x v="6"/>
    <s v="e_50_m_remolque_de_maniqui_master_60_69_f50 m Remolque de ManiquíFMáster 60-6950Remolque de Maniquí"/>
    <n v="1"/>
  </r>
  <r>
    <s v="e_50_m_remolque_de_maniqui_master_60_69_m"/>
    <x v="20"/>
    <s v="M"/>
    <x v="14"/>
    <x v="6"/>
    <x v="6"/>
    <s v="e_50_m_remolque_de_maniqui_master_60_69_m50 m Remolque de ManiquíMMáster 60-6950Remolque de Maniquí"/>
    <n v="1"/>
  </r>
  <r>
    <s v="e_50_m_remolque_de_maniqui_master_70_74_m"/>
    <x v="20"/>
    <s v="M"/>
    <x v="15"/>
    <x v="6"/>
    <x v="6"/>
    <s v="e_50_m_remolque_de_maniqui_master_70_74_m50 m Remolque de ManiquíMMáster 70-7450Remolque de Maniquí"/>
    <n v="1"/>
  </r>
  <r>
    <s v="e_50_m_socorrista_absoluto_f"/>
    <x v="22"/>
    <s v="F"/>
    <x v="0"/>
    <x v="6"/>
    <x v="4"/>
    <s v="e_50_m_socorrista_absoluto_f50 m SocorristaFAbsoluta50Socorrista"/>
    <n v="1"/>
  </r>
  <r>
    <s v="e_50_m_socorrista_absoluto_m"/>
    <x v="22"/>
    <s v="M"/>
    <x v="0"/>
    <x v="6"/>
    <x v="4"/>
    <s v="e_50_m_socorrista_absoluto_m50 m SocorristaMAbsoluta50Socorrista"/>
    <n v="1"/>
  </r>
  <r>
    <s v="e_50_m_socorrista_junior_f"/>
    <x v="22"/>
    <s v="F"/>
    <x v="2"/>
    <x v="6"/>
    <x v="4"/>
    <s v="e_50_m_socorrista_junior_f50 m SocorristaFJúnior50Socorrista"/>
    <n v="1"/>
  </r>
  <r>
    <s v="e_50_m_socorrista_junior_m"/>
    <x v="22"/>
    <s v="M"/>
    <x v="2"/>
    <x v="6"/>
    <x v="4"/>
    <s v="e_50_m_socorrista_junior_m50 m SocorristaMJúnior50Socorrista"/>
    <n v="1"/>
  </r>
  <r>
    <s v="e_50_m_socorrista_juvenil_f"/>
    <x v="22"/>
    <s v="F"/>
    <x v="3"/>
    <x v="6"/>
    <x v="4"/>
    <s v="e_50_m_socorrista_juvenil_f50 m SocorristaFJuvenil50Socorrista"/>
    <n v="1"/>
  </r>
  <r>
    <s v="e_50_m_socorrista_juvenil_m"/>
    <x v="22"/>
    <s v="M"/>
    <x v="3"/>
    <x v="6"/>
    <x v="4"/>
    <s v="e_50_m_socorrista_juvenil_m50 m SocorristaMJuvenil50Socorrista"/>
    <n v="1"/>
  </r>
  <r>
    <s v="e_lanzamiento_de_cuerda_absoluto_f"/>
    <x v="23"/>
    <s v="F"/>
    <x v="0"/>
    <x v="7"/>
    <x v="12"/>
    <s v="e_lanzamiento_de_cuerda_absoluto_fLanzamiento de CuerdaFAbsolutaLanzamiento de Cuerda"/>
    <n v="1"/>
  </r>
  <r>
    <s v="e_lanzamiento_de_cuerda_absoluto_m"/>
    <x v="23"/>
    <s v="M"/>
    <x v="0"/>
    <x v="7"/>
    <x v="12"/>
    <s v="e_lanzamiento_de_cuerda_absoluto_mLanzamiento de CuerdaMAbsolutaLanzamiento de Cuerda"/>
    <n v="1"/>
  </r>
  <r>
    <s v="e_lanzamiento_de_cuerda_junior_f"/>
    <x v="23"/>
    <s v="F"/>
    <x v="2"/>
    <x v="7"/>
    <x v="12"/>
    <s v="e_lanzamiento_de_cuerda_junior_fLanzamiento de CuerdaFJúniorLanzamiento de Cuerda"/>
    <n v="1"/>
  </r>
  <r>
    <s v="e_lanzamiento_de_cuerda_junior_m"/>
    <x v="23"/>
    <s v="M"/>
    <x v="2"/>
    <x v="7"/>
    <x v="12"/>
    <s v="e_lanzamiento_de_cuerda_junior_mLanzamiento de CuerdaMJúniorLanzamiento de Cuerda"/>
    <n v="1"/>
  </r>
  <r>
    <s v="e_lanzamiento_de_cuerda_juvenil_f"/>
    <x v="23"/>
    <s v="F"/>
    <x v="3"/>
    <x v="7"/>
    <x v="12"/>
    <s v="e_lanzamiento_de_cuerda_juvenil_fLanzamiento de CuerdaFJuvenilLanzamiento de Cuerda"/>
    <n v="1"/>
  </r>
  <r>
    <s v="e_lanzamiento_de_cuerda_juvenil_m"/>
    <x v="23"/>
    <s v="M"/>
    <x v="3"/>
    <x v="7"/>
    <x v="12"/>
    <s v="e_lanzamiento_de_cuerda_juvenil_mLanzamiento de CuerdaMJuvenilLanzamiento de Cuerda"/>
    <n v="1"/>
  </r>
  <r>
    <s v="e_lanzamiento_de_cuerda_master_30_34_f"/>
    <x v="23"/>
    <s v="F"/>
    <x v="5"/>
    <x v="7"/>
    <x v="12"/>
    <s v="e_lanzamiento_de_cuerda_master_30_34_fLanzamiento de CuerdaFMáster 30-34Lanzamiento de Cuerda"/>
    <n v="1"/>
  </r>
  <r>
    <s v="e_lanzamiento_de_cuerda_master_30_34_m"/>
    <x v="23"/>
    <s v="M"/>
    <x v="5"/>
    <x v="7"/>
    <x v="12"/>
    <s v="e_lanzamiento_de_cuerda_master_30_34_mLanzamiento de CuerdaMMáster 30-34Lanzamiento de Cuerda"/>
    <n v="1"/>
  </r>
  <r>
    <s v="e_lanzamiento_de_cuerda_master_35_39_f"/>
    <x v="23"/>
    <s v="F"/>
    <x v="7"/>
    <x v="7"/>
    <x v="12"/>
    <s v="e_lanzamiento_de_cuerda_master_35_39_fLanzamiento de CuerdaFMáster 35-39Lanzamiento de Cuerda"/>
    <n v="1"/>
  </r>
  <r>
    <s v="e_lanzamiento_de_cuerda_master_35_39_m"/>
    <x v="23"/>
    <s v="M"/>
    <x v="7"/>
    <x v="7"/>
    <x v="12"/>
    <s v="e_lanzamiento_de_cuerda_master_35_39_mLanzamiento de CuerdaMMáster 35-39Lanzamiento de Cuerda"/>
    <n v="1"/>
  </r>
  <r>
    <s v="e_lanzamiento_de_cuerda_master_40_44_m"/>
    <x v="23"/>
    <s v="M"/>
    <x v="16"/>
    <x v="7"/>
    <x v="12"/>
    <s v="e_lanzamiento_de_cuerda_master_40_44_mLanzamiento de CuerdaMMáster 40-44Lanzamiento de Cuerda"/>
    <n v="1"/>
  </r>
  <r>
    <s v="e_lanzamiento_de_cuerda_master_45_49_f"/>
    <x v="23"/>
    <s v="F"/>
    <x v="9"/>
    <x v="7"/>
    <x v="12"/>
    <s v="e_lanzamiento_de_cuerda_master_45_49_fLanzamiento de CuerdaFMáster 45-49Lanzamiento de Cuerda"/>
    <n v="1"/>
  </r>
  <r>
    <s v="e_lanzamiento_de_cuerda_master_45_49_m"/>
    <x v="23"/>
    <s v="M"/>
    <x v="9"/>
    <x v="7"/>
    <x v="12"/>
    <s v="e_lanzamiento_de_cuerda_master_45_49_mLanzamiento de CuerdaMMáster 45-49Lanzamiento de Cuerda"/>
    <n v="1"/>
  </r>
  <r>
    <s v="e_lanzamiento_de_cuerda_master_50_54_f"/>
    <x v="23"/>
    <s v="F"/>
    <x v="10"/>
    <x v="7"/>
    <x v="12"/>
    <s v="e_lanzamiento_de_cuerda_master_50_54_fLanzamiento de CuerdaFMáster 50-54Lanzamiento de Cuerda"/>
    <n v="1"/>
  </r>
  <r>
    <s v="e_lanzamiento_de_cuerda_master_50_54_m"/>
    <x v="23"/>
    <s v="M"/>
    <x v="10"/>
    <x v="7"/>
    <x v="12"/>
    <s v="e_lanzamiento_de_cuerda_master_50_54_mLanzamiento de CuerdaMMáster 50-54Lanzamiento de Cuerda"/>
    <n v="1"/>
  </r>
  <r>
    <s v="e_lanzamiento_de_cuerda_master_55_59_f"/>
    <x v="23"/>
    <s v="F"/>
    <x v="12"/>
    <x v="7"/>
    <x v="12"/>
    <s v="e_lanzamiento_de_cuerda_master_55_59_fLanzamiento de CuerdaFMáster 55-59Lanzamiento de Cuerda"/>
    <n v="1"/>
  </r>
  <r>
    <s v="e_lanzamiento_de_cuerda_master_55_59_m"/>
    <x v="23"/>
    <s v="M"/>
    <x v="12"/>
    <x v="7"/>
    <x v="12"/>
    <s v="e_lanzamiento_de_cuerda_master_55_59_mLanzamiento de CuerdaMMáster 55-59Lanzamiento de Cuerda"/>
    <n v="1"/>
  </r>
  <r>
    <s v="e_lanzamiento_de_cuerda_master_60_64_m"/>
    <x v="23"/>
    <s v="M"/>
    <x v="13"/>
    <x v="7"/>
    <x v="12"/>
    <s v="e_lanzamiento_de_cuerda_master_60_64_mLanzamiento de CuerdaMMáster 60-64Lanzamiento de Cuerda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C190BC-35C9-41EB-9898-199160AF60CC}" name="PivotTable2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:C17" firstHeaderRow="1" firstDataRow="1" firstDataCol="1"/>
  <pivotFields count="8">
    <pivotField showAll="0"/>
    <pivotField showAll="0"/>
    <pivotField showAll="0"/>
    <pivotField showAll="0"/>
    <pivotField showAll="0"/>
    <pivotField axis="axisRow" showAll="0" sortType="ascending">
      <items count="25">
        <item m="1" x="14"/>
        <item m="1" x="17"/>
        <item m="1" x="20"/>
        <item x="0"/>
        <item m="1" x="18"/>
        <item x="12"/>
        <item x="1"/>
        <item m="1" x="13"/>
        <item m="1" x="19"/>
        <item x="8"/>
        <item m="1" x="16"/>
        <item x="11"/>
        <item x="9"/>
        <item x="7"/>
        <item m="1" x="23"/>
        <item x="10"/>
        <item x="6"/>
        <item x="2"/>
        <item x="3"/>
        <item m="1" x="22"/>
        <item m="1" x="21"/>
        <item x="4"/>
        <item x="5"/>
        <item m="1" x="15"/>
        <item t="default"/>
      </items>
    </pivotField>
    <pivotField showAll="0"/>
    <pivotField showAll="0"/>
  </pivotFields>
  <rowFields count="1">
    <field x="5"/>
  </rowFields>
  <rowItems count="14">
    <i>
      <x v="3"/>
    </i>
    <i>
      <x v="5"/>
    </i>
    <i>
      <x v="6"/>
    </i>
    <i>
      <x v="9"/>
    </i>
    <i>
      <x v="11"/>
    </i>
    <i>
      <x v="12"/>
    </i>
    <i>
      <x v="13"/>
    </i>
    <i>
      <x v="15"/>
    </i>
    <i>
      <x v="16"/>
    </i>
    <i>
      <x v="17"/>
    </i>
    <i>
      <x v="18"/>
    </i>
    <i>
      <x v="21"/>
    </i>
    <i>
      <x v="2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0865FB-D071-4837-ADF0-CDF900CEEABA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177" firstHeaderRow="1" firstDataRow="1" firstDataCol="1"/>
  <pivotFields count="8">
    <pivotField showAll="0"/>
    <pivotField axis="axisRow" showAll="0">
      <items count="44">
        <item x="0"/>
        <item x="1"/>
        <item x="2"/>
        <item x="3"/>
        <item m="1" x="39"/>
        <item x="4"/>
        <item x="5"/>
        <item x="6"/>
        <item x="7"/>
        <item x="8"/>
        <item x="9"/>
        <item m="1" x="41"/>
        <item x="10"/>
        <item x="11"/>
        <item x="12"/>
        <item m="1" x="42"/>
        <item x="13"/>
        <item x="14"/>
        <item x="16"/>
        <item x="17"/>
        <item x="18"/>
        <item x="19"/>
        <item x="20"/>
        <item x="21"/>
        <item m="1" x="40"/>
        <item x="22"/>
        <item x="23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25"/>
        <item m="1" x="27"/>
        <item m="1" x="29"/>
        <item x="15"/>
        <item m="1" x="28"/>
        <item m="1" x="26"/>
        <item m="1" x="24"/>
        <item t="default"/>
      </items>
    </pivotField>
    <pivotField showAll="0"/>
    <pivotField axis="axisRow" showAll="0">
      <items count="53">
        <item x="0"/>
        <item x="1"/>
        <item x="4"/>
        <item x="2"/>
        <item x="3"/>
        <item m="1" x="51"/>
        <item m="1" x="50"/>
        <item x="5"/>
        <item x="6"/>
        <item x="7"/>
        <item x="16"/>
        <item x="8"/>
        <item x="9"/>
        <item x="10"/>
        <item x="11"/>
        <item x="12"/>
        <item x="13"/>
        <item x="14"/>
        <item x="18"/>
        <item x="19"/>
        <item x="20"/>
        <item x="21"/>
        <item m="1" x="47"/>
        <item m="1" x="34"/>
        <item m="1" x="26"/>
        <item m="1" x="23"/>
        <item m="1" x="24"/>
        <item m="1" x="35"/>
        <item m="1" x="36"/>
        <item m="1" x="33"/>
        <item m="1" x="31"/>
        <item m="1" x="49"/>
        <item m="1" x="37"/>
        <item m="1" x="48"/>
        <item m="1" x="22"/>
        <item x="15"/>
        <item m="1" x="44"/>
        <item m="1" x="45"/>
        <item m="1" x="46"/>
        <item x="17"/>
        <item m="1" x="38"/>
        <item m="1" x="29"/>
        <item m="1" x="39"/>
        <item m="1" x="40"/>
        <item m="1" x="41"/>
        <item m="1" x="42"/>
        <item m="1" x="43"/>
        <item m="1" x="30"/>
        <item m="1" x="32"/>
        <item m="1" x="27"/>
        <item m="1" x="28"/>
        <item m="1" x="25"/>
        <item t="default"/>
      </items>
    </pivotField>
    <pivotField showAll="0"/>
    <pivotField axis="axisRow" showAll="0">
      <items count="25">
        <item x="0"/>
        <item x="12"/>
        <item x="1"/>
        <item x="8"/>
        <item x="9"/>
        <item x="7"/>
        <item m="1" x="23"/>
        <item x="10"/>
        <item x="6"/>
        <item x="2"/>
        <item x="3"/>
        <item m="1" x="22"/>
        <item m="1" x="21"/>
        <item x="4"/>
        <item x="5"/>
        <item m="1" x="17"/>
        <item m="1" x="18"/>
        <item m="1" x="19"/>
        <item m="1" x="20"/>
        <item m="1" x="14"/>
        <item m="1" x="16"/>
        <item x="11"/>
        <item m="1" x="15"/>
        <item m="1" x="13"/>
        <item t="default"/>
      </items>
    </pivotField>
    <pivotField showAll="0"/>
    <pivotField showAll="0"/>
  </pivotFields>
  <rowFields count="3">
    <field x="5"/>
    <field x="1"/>
    <field x="3"/>
  </rowFields>
  <rowItems count="174">
    <i>
      <x/>
    </i>
    <i r="1">
      <x/>
    </i>
    <i r="2">
      <x/>
    </i>
    <i r="2">
      <x v="1"/>
    </i>
    <i r="2">
      <x v="3"/>
    </i>
    <i r="2">
      <x v="4"/>
    </i>
    <i r="1">
      <x v="20"/>
    </i>
    <i r="2">
      <x/>
    </i>
    <i r="2">
      <x v="3"/>
    </i>
    <i r="2">
      <x v="4"/>
    </i>
    <i>
      <x v="1"/>
    </i>
    <i r="1">
      <x v="26"/>
    </i>
    <i r="2">
      <x/>
    </i>
    <i r="2">
      <x v="3"/>
    </i>
    <i r="2">
      <x v="4"/>
    </i>
    <i r="2">
      <x v="7"/>
    </i>
    <i r="2">
      <x v="9"/>
    </i>
    <i r="2">
      <x v="10"/>
    </i>
    <i r="2">
      <x v="12"/>
    </i>
    <i r="2">
      <x v="13"/>
    </i>
    <i r="2">
      <x v="15"/>
    </i>
    <i r="2">
      <x v="16"/>
    </i>
    <i>
      <x v="2"/>
    </i>
    <i r="1">
      <x v="1"/>
    </i>
    <i r="2">
      <x/>
    </i>
    <i r="2">
      <x v="2"/>
    </i>
    <i r="2">
      <x v="7"/>
    </i>
    <i r="2">
      <x v="8"/>
    </i>
    <i r="2">
      <x v="9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35"/>
    </i>
    <i r="1">
      <x v="7"/>
    </i>
    <i r="2">
      <x/>
    </i>
    <i r="2">
      <x v="1"/>
    </i>
    <i r="2">
      <x v="3"/>
    </i>
    <i r="2">
      <x v="4"/>
    </i>
    <i r="2">
      <x v="8"/>
    </i>
    <i r="2">
      <x v="11"/>
    </i>
    <i r="1">
      <x v="21"/>
    </i>
    <i r="2">
      <x/>
    </i>
    <i r="2">
      <x v="3"/>
    </i>
    <i r="2">
      <x v="4"/>
    </i>
    <i>
      <x v="3"/>
    </i>
    <i r="1">
      <x v="12"/>
    </i>
    <i r="2">
      <x/>
    </i>
    <i r="1">
      <x v="17"/>
    </i>
    <i r="2">
      <x/>
    </i>
    <i r="2">
      <x v="1"/>
    </i>
    <i r="2">
      <x v="3"/>
    </i>
    <i r="2">
      <x v="18"/>
    </i>
    <i r="2">
      <x v="19"/>
    </i>
    <i r="2">
      <x v="20"/>
    </i>
    <i r="2">
      <x v="21"/>
    </i>
    <i r="2">
      <x v="39"/>
    </i>
    <i>
      <x v="4"/>
    </i>
    <i r="1">
      <x v="13"/>
    </i>
    <i r="2">
      <x/>
    </i>
    <i r="1">
      <x v="18"/>
    </i>
    <i r="2">
      <x/>
    </i>
    <i r="2">
      <x v="1"/>
    </i>
    <i r="2">
      <x v="3"/>
    </i>
    <i r="2">
      <x v="18"/>
    </i>
    <i r="2">
      <x v="19"/>
    </i>
    <i r="2">
      <x v="20"/>
    </i>
    <i r="2">
      <x v="21"/>
    </i>
    <i r="2">
      <x v="39"/>
    </i>
    <i>
      <x v="5"/>
    </i>
    <i r="1">
      <x v="10"/>
    </i>
    <i r="2">
      <x/>
    </i>
    <i r="1">
      <x v="14"/>
    </i>
    <i r="2">
      <x/>
    </i>
    <i r="2">
      <x v="3"/>
    </i>
    <i r="2">
      <x v="18"/>
    </i>
    <i r="2">
      <x v="19"/>
    </i>
    <i r="2">
      <x v="20"/>
    </i>
    <i r="2">
      <x v="21"/>
    </i>
    <i r="2">
      <x v="39"/>
    </i>
    <i>
      <x v="7"/>
    </i>
    <i r="1">
      <x v="16"/>
    </i>
    <i r="2">
      <x/>
    </i>
    <i r="1">
      <x v="19"/>
    </i>
    <i r="2">
      <x/>
    </i>
    <i r="2">
      <x v="3"/>
    </i>
    <i r="2">
      <x v="4"/>
    </i>
    <i>
      <x v="8"/>
    </i>
    <i r="1">
      <x v="9"/>
    </i>
    <i r="2">
      <x/>
    </i>
    <i r="2">
      <x v="3"/>
    </i>
    <i r="2">
      <x v="4"/>
    </i>
    <i r="1">
      <x v="22"/>
    </i>
    <i r="2">
      <x/>
    </i>
    <i r="2">
      <x v="1"/>
    </i>
    <i r="2">
      <x v="2"/>
    </i>
    <i r="2">
      <x v="3"/>
    </i>
    <i r="2">
      <x v="4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35"/>
    </i>
    <i>
      <x v="9"/>
    </i>
    <i r="1">
      <x v="2"/>
    </i>
    <i r="2">
      <x/>
    </i>
    <i r="2">
      <x v="1"/>
    </i>
    <i r="2">
      <x v="3"/>
    </i>
    <i r="2">
      <x v="4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35"/>
    </i>
    <i r="1">
      <x v="23"/>
    </i>
    <i r="2">
      <x/>
    </i>
    <i r="2">
      <x v="3"/>
    </i>
    <i r="2">
      <x v="4"/>
    </i>
    <i>
      <x v="10"/>
    </i>
    <i r="1">
      <x v="3"/>
    </i>
    <i r="2">
      <x v="2"/>
    </i>
    <i>
      <x v="13"/>
    </i>
    <i r="1">
      <x v="5"/>
    </i>
    <i r="2">
      <x/>
    </i>
    <i r="2">
      <x v="2"/>
    </i>
    <i r="2">
      <x v="3"/>
    </i>
    <i r="2">
      <x v="4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2">
      <x v="15"/>
    </i>
    <i r="2">
      <x v="16"/>
    </i>
    <i r="2">
      <x v="17"/>
    </i>
    <i r="2">
      <x v="35"/>
    </i>
    <i r="1">
      <x v="25"/>
    </i>
    <i r="2">
      <x/>
    </i>
    <i r="2">
      <x v="3"/>
    </i>
    <i r="2">
      <x v="4"/>
    </i>
    <i>
      <x v="14"/>
    </i>
    <i r="1">
      <x v="6"/>
    </i>
    <i r="2">
      <x/>
    </i>
    <i r="2">
      <x v="3"/>
    </i>
    <i r="2">
      <x v="4"/>
    </i>
    <i r="1">
      <x v="8"/>
    </i>
    <i r="2">
      <x/>
    </i>
    <i r="2">
      <x v="1"/>
    </i>
    <i r="2">
      <x v="3"/>
    </i>
    <i r="2">
      <x v="4"/>
    </i>
    <i>
      <x v="21"/>
    </i>
    <i r="1">
      <x v="39"/>
    </i>
    <i r="2"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B1BBD1-60E2-4F0B-AEA1-61DBC33EDACE}" name="PivotTable5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3:I12" firstHeaderRow="1" firstDataRow="1" firstDataCol="1"/>
  <pivotFields count="8">
    <pivotField showAll="0"/>
    <pivotField showAll="0"/>
    <pivotField showAll="0"/>
    <pivotField showAll="0"/>
    <pivotField axis="axisRow" showAll="0" sortType="ascending">
      <items count="13">
        <item m="1" x="10"/>
        <item m="1" x="8"/>
        <item m="1" x="9"/>
        <item m="1" x="11"/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</pivotFields>
  <rowFields count="1">
    <field x="4"/>
  </rowFields>
  <rowItems count="9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83935F-1042-4BCB-B148-C5F3681C7DC4}" name="PivotTable4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3:G26" firstHeaderRow="1" firstDataRow="1" firstDataCol="1"/>
  <pivotFields count="8">
    <pivotField showAll="0"/>
    <pivotField showAll="0"/>
    <pivotField showAll="0"/>
    <pivotField axis="axisRow" showAll="0" sortType="ascending">
      <items count="53">
        <item x="0"/>
        <item x="1"/>
        <item x="4"/>
        <item m="1" x="47"/>
        <item x="2"/>
        <item x="3"/>
        <item m="1" x="48"/>
        <item m="1" x="25"/>
        <item m="1" x="51"/>
        <item m="1" x="44"/>
        <item m="1" x="45"/>
        <item m="1" x="46"/>
        <item m="1" x="23"/>
        <item m="1" x="50"/>
        <item m="1" x="38"/>
        <item m="1" x="34"/>
        <item x="5"/>
        <item x="6"/>
        <item m="1" x="24"/>
        <item x="7"/>
        <item x="16"/>
        <item x="8"/>
        <item x="9"/>
        <item x="10"/>
        <item x="11"/>
        <item x="12"/>
        <item m="1" x="43"/>
        <item m="1" x="37"/>
        <item m="1" x="26"/>
        <item m="1" x="49"/>
        <item x="13"/>
        <item x="14"/>
        <item m="1" x="22"/>
        <item x="15"/>
        <item m="1" x="28"/>
        <item m="1" x="39"/>
        <item m="1" x="30"/>
        <item m="1" x="27"/>
        <item m="1" x="40"/>
        <item m="1" x="29"/>
        <item x="17"/>
        <item x="18"/>
        <item x="19"/>
        <item m="1" x="33"/>
        <item m="1" x="35"/>
        <item m="1" x="42"/>
        <item x="20"/>
        <item m="1" x="36"/>
        <item m="1" x="31"/>
        <item m="1" x="41"/>
        <item x="21"/>
        <item m="1" x="32"/>
        <item t="default"/>
      </items>
    </pivotField>
    <pivotField showAll="0"/>
    <pivotField showAll="0"/>
    <pivotField showAll="0"/>
    <pivotField showAll="0"/>
  </pivotFields>
  <rowFields count="1">
    <field x="3"/>
  </rowFields>
  <rowItems count="23">
    <i>
      <x/>
    </i>
    <i>
      <x v="1"/>
    </i>
    <i>
      <x v="2"/>
    </i>
    <i>
      <x v="4"/>
    </i>
    <i>
      <x v="5"/>
    </i>
    <i>
      <x v="16"/>
    </i>
    <i>
      <x v="17"/>
    </i>
    <i>
      <x v="19"/>
    </i>
    <i>
      <x v="20"/>
    </i>
    <i>
      <x v="21"/>
    </i>
    <i>
      <x v="22"/>
    </i>
    <i>
      <x v="23"/>
    </i>
    <i>
      <x v="24"/>
    </i>
    <i>
      <x v="25"/>
    </i>
    <i>
      <x v="30"/>
    </i>
    <i>
      <x v="31"/>
    </i>
    <i>
      <x v="33"/>
    </i>
    <i>
      <x v="40"/>
    </i>
    <i>
      <x v="41"/>
    </i>
    <i>
      <x v="42"/>
    </i>
    <i>
      <x v="46"/>
    </i>
    <i>
      <x v="5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4F381F-AB59-488A-91E6-7609F4AD2E09}" name="PivotTable3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E28" firstHeaderRow="1" firstDataRow="1" firstDataCol="1"/>
  <pivotFields count="8">
    <pivotField showAll="0"/>
    <pivotField axis="axisRow" showAll="0" sortType="ascending">
      <items count="44">
        <item m="1" x="30"/>
        <item x="0"/>
        <item m="1" x="31"/>
        <item x="1"/>
        <item m="1" x="27"/>
        <item x="2"/>
        <item x="3"/>
        <item m="1" x="39"/>
        <item x="4"/>
        <item x="5"/>
        <item x="6"/>
        <item m="1" x="32"/>
        <item x="7"/>
        <item m="1" x="33"/>
        <item x="8"/>
        <item m="1" x="34"/>
        <item x="9"/>
        <item m="1" x="41"/>
        <item m="1" x="25"/>
        <item m="1" x="35"/>
        <item x="10"/>
        <item x="11"/>
        <item x="12"/>
        <item m="1" x="42"/>
        <item x="13"/>
        <item m="1" x="26"/>
        <item m="1" x="24"/>
        <item x="14"/>
        <item m="1" x="29"/>
        <item x="15"/>
        <item x="16"/>
        <item x="17"/>
        <item m="1" x="36"/>
        <item m="1" x="37"/>
        <item x="18"/>
        <item m="1" x="38"/>
        <item x="19"/>
        <item x="20"/>
        <item x="21"/>
        <item m="1" x="40"/>
        <item x="22"/>
        <item x="23"/>
        <item m="1" x="28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25">
    <i>
      <x v="1"/>
    </i>
    <i>
      <x v="3"/>
    </i>
    <i>
      <x v="5"/>
    </i>
    <i>
      <x v="6"/>
    </i>
    <i>
      <x v="8"/>
    </i>
    <i>
      <x v="9"/>
    </i>
    <i>
      <x v="10"/>
    </i>
    <i>
      <x v="12"/>
    </i>
    <i>
      <x v="14"/>
    </i>
    <i>
      <x v="16"/>
    </i>
    <i>
      <x v="20"/>
    </i>
    <i>
      <x v="21"/>
    </i>
    <i>
      <x v="22"/>
    </i>
    <i>
      <x v="24"/>
    </i>
    <i>
      <x v="27"/>
    </i>
    <i>
      <x v="29"/>
    </i>
    <i>
      <x v="30"/>
    </i>
    <i>
      <x v="31"/>
    </i>
    <i>
      <x v="34"/>
    </i>
    <i>
      <x v="36"/>
    </i>
    <i>
      <x v="37"/>
    </i>
    <i>
      <x v="38"/>
    </i>
    <i>
      <x v="40"/>
    </i>
    <i>
      <x v="4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46914C2-71D0-42CC-81F9-6F8884D65A06}" autoFormatId="16" applyNumberFormats="0" applyBorderFormats="0" applyFontFormats="0" applyPatternFormats="0" applyAlignmentFormats="0" applyWidthHeightFormats="0">
  <queryTableRefresh nextId="11" unboundColumnsRight="2">
    <queryTableFields count="8">
      <queryTableField id="1" name="Column1.id" tableColumnId="1"/>
      <queryTableField id="2" name="Column1.base" tableColumnId="2"/>
      <queryTableField id="3" name="Column1.sex" tableColumnId="3"/>
      <queryTableField id="4" name="Column1.category" tableColumnId="4"/>
      <queryTableField id="5" name="Column1.distance_m" tableColumnId="5"/>
      <queryTableField id="6" name="Column1.discipline" tableColumnId="6"/>
      <queryTableField id="10" dataBound="0" tableColumnId="10"/>
      <queryTableField id="8" dataBound="0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7EE907-657E-4BD0-ABBE-2B3F4A7CF891}" name="Canonical" displayName="Canonical" ref="A1:H240" tableType="queryTable" totalsRowShown="0">
  <autoFilter ref="A1:H240" xr:uid="{767EE907-657E-4BD0-ABBE-2B3F4A7CF891}"/>
  <sortState xmlns:xlrd2="http://schemas.microsoft.com/office/spreadsheetml/2017/richdata2" ref="A2:H240">
    <sortCondition ref="A1:A240"/>
  </sortState>
  <tableColumns count="8">
    <tableColumn id="1" xr3:uid="{121309DC-B0DF-41F6-AC83-558879CDC321}" uniqueName="1" name="Column1.id" queryTableFieldId="1"/>
    <tableColumn id="2" xr3:uid="{FCD0C0AC-1CEC-4F7D-BC55-17608608516D}" uniqueName="2" name="Column1.base" queryTableFieldId="2"/>
    <tableColumn id="3" xr3:uid="{81BF09ED-2ECE-4160-BF24-69CC4FA96715}" uniqueName="3" name="Column1.sex" queryTableFieldId="3"/>
    <tableColumn id="4" xr3:uid="{2BD349FE-1EC9-4749-8CAE-EBF9307F5D48}" uniqueName="4" name="Column1.category" queryTableFieldId="4"/>
    <tableColumn id="5" xr3:uid="{A58DF424-8B97-41C2-A08A-5C730FFEA559}" uniqueName="5" name="Column1.distance_m" queryTableFieldId="5" dataDxfId="0"/>
    <tableColumn id="6" xr3:uid="{BEC55DA1-9BA5-4C96-8157-0CB0B9CC96A2}" uniqueName="6" name="Column1.discipline" queryTableFieldId="6"/>
    <tableColumn id="10" xr3:uid="{8314F803-FBD5-421A-A321-AD8982E2089A}" uniqueName="10" name="Concatenate" queryTableFieldId="10">
      <calculatedColumnFormula>_xlfn.CONCAT(Canonical[[#This Row],[Column1.id]:[Column1.discipline]])</calculatedColumnFormula>
    </tableColumn>
    <tableColumn id="8" xr3:uid="{5A61C050-930D-419C-A80B-45AA6C444EDE}" uniqueName="8" name="Duplicates" queryTableFieldId="8">
      <calculatedColumnFormula>COUNTIF(Canonical[Column1.id],Canonical[[#This Row],[Column1.id]])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D8A29-5EDD-44AE-A948-19D1D00916F2}">
  <dimension ref="A1:I180"/>
  <sheetViews>
    <sheetView tabSelected="1" topLeftCell="A139" workbookViewId="0">
      <selection activeCell="A92" sqref="A92"/>
    </sheetView>
  </sheetViews>
  <sheetFormatPr defaultRowHeight="15" x14ac:dyDescent="0.25"/>
  <cols>
    <col min="1" max="1" width="49.28515625" bestFit="1" customWidth="1"/>
    <col min="2" max="2" width="7" bestFit="1" customWidth="1"/>
    <col min="3" max="3" width="39" bestFit="1" customWidth="1"/>
    <col min="5" max="5" width="44.7109375" bestFit="1" customWidth="1"/>
    <col min="7" max="7" width="14.140625" bestFit="1" customWidth="1"/>
    <col min="9" max="9" width="13.42578125" bestFit="1" customWidth="1"/>
  </cols>
  <sheetData>
    <row r="1" spans="1:9" x14ac:dyDescent="0.25">
      <c r="A1" t="s">
        <v>322</v>
      </c>
      <c r="C1" t="s">
        <v>44</v>
      </c>
      <c r="E1" t="s">
        <v>45</v>
      </c>
      <c r="G1" t="s">
        <v>46</v>
      </c>
      <c r="I1" t="s">
        <v>47</v>
      </c>
    </row>
    <row r="3" spans="1:9" x14ac:dyDescent="0.25">
      <c r="A3" s="1" t="s">
        <v>41</v>
      </c>
      <c r="C3" s="1" t="s">
        <v>41</v>
      </c>
      <c r="E3" s="1" t="s">
        <v>41</v>
      </c>
      <c r="G3" s="1" t="s">
        <v>41</v>
      </c>
      <c r="I3" s="1" t="s">
        <v>41</v>
      </c>
    </row>
    <row r="4" spans="1:9" x14ac:dyDescent="0.25">
      <c r="A4" s="2" t="s">
        <v>138</v>
      </c>
      <c r="C4" s="2" t="s">
        <v>138</v>
      </c>
      <c r="E4" s="2" t="s">
        <v>136</v>
      </c>
      <c r="G4" s="2" t="s">
        <v>144</v>
      </c>
      <c r="I4" s="2" t="s">
        <v>37</v>
      </c>
    </row>
    <row r="5" spans="1:9" x14ac:dyDescent="0.25">
      <c r="A5" s="3" t="s">
        <v>136</v>
      </c>
      <c r="C5" s="2" t="s">
        <v>28</v>
      </c>
      <c r="E5" s="2" t="s">
        <v>12</v>
      </c>
      <c r="G5" s="2" t="s">
        <v>137</v>
      </c>
      <c r="I5" s="2" t="s">
        <v>183</v>
      </c>
    </row>
    <row r="6" spans="1:9" x14ac:dyDescent="0.25">
      <c r="A6" s="4" t="s">
        <v>144</v>
      </c>
      <c r="C6" s="2" t="s">
        <v>7</v>
      </c>
      <c r="E6" s="2" t="s">
        <v>15</v>
      </c>
      <c r="G6" s="2" t="s">
        <v>151</v>
      </c>
      <c r="I6" s="2" t="s">
        <v>202</v>
      </c>
    </row>
    <row r="7" spans="1:9" x14ac:dyDescent="0.25">
      <c r="A7" s="4" t="s">
        <v>137</v>
      </c>
      <c r="C7" s="2" t="s">
        <v>21</v>
      </c>
      <c r="E7" s="2" t="s">
        <v>163</v>
      </c>
      <c r="G7" s="2" t="s">
        <v>142</v>
      </c>
      <c r="I7" s="2" t="s">
        <v>209</v>
      </c>
    </row>
    <row r="8" spans="1:9" x14ac:dyDescent="0.25">
      <c r="A8" s="4" t="s">
        <v>142</v>
      </c>
      <c r="C8" s="2" t="s">
        <v>305</v>
      </c>
      <c r="E8" s="2" t="s">
        <v>13</v>
      </c>
      <c r="G8" s="2" t="s">
        <v>140</v>
      </c>
      <c r="I8" s="2" t="s">
        <v>18</v>
      </c>
    </row>
    <row r="9" spans="1:9" x14ac:dyDescent="0.25">
      <c r="A9" s="4" t="s">
        <v>140</v>
      </c>
      <c r="C9" s="2" t="s">
        <v>19</v>
      </c>
      <c r="E9" s="2" t="s">
        <v>177</v>
      </c>
      <c r="G9" s="2" t="s">
        <v>22</v>
      </c>
      <c r="I9" s="2" t="s">
        <v>31</v>
      </c>
    </row>
    <row r="10" spans="1:9" x14ac:dyDescent="0.25">
      <c r="A10" s="3" t="s">
        <v>236</v>
      </c>
      <c r="C10" s="2" t="s">
        <v>20</v>
      </c>
      <c r="E10" s="2" t="s">
        <v>182</v>
      </c>
      <c r="G10" s="2" t="s">
        <v>173</v>
      </c>
      <c r="I10" s="2" t="s">
        <v>38</v>
      </c>
    </row>
    <row r="11" spans="1:9" x14ac:dyDescent="0.25">
      <c r="A11" s="4" t="s">
        <v>144</v>
      </c>
      <c r="C11" s="2" t="s">
        <v>224</v>
      </c>
      <c r="E11" s="2" t="s">
        <v>194</v>
      </c>
      <c r="G11" s="2" t="s">
        <v>23</v>
      </c>
      <c r="I11" s="2" t="s">
        <v>43</v>
      </c>
    </row>
    <row r="12" spans="1:9" x14ac:dyDescent="0.25">
      <c r="A12" s="4" t="s">
        <v>142</v>
      </c>
      <c r="C12" s="2" t="s">
        <v>10</v>
      </c>
      <c r="E12" s="2" t="s">
        <v>201</v>
      </c>
      <c r="G12" s="2" t="s">
        <v>25</v>
      </c>
      <c r="I12" s="2" t="s">
        <v>42</v>
      </c>
    </row>
    <row r="13" spans="1:9" x14ac:dyDescent="0.25">
      <c r="A13" s="4" t="s">
        <v>140</v>
      </c>
      <c r="C13" s="2" t="s">
        <v>11</v>
      </c>
      <c r="E13" s="2" t="s">
        <v>208</v>
      </c>
      <c r="G13" s="2" t="s">
        <v>156</v>
      </c>
    </row>
    <row r="14" spans="1:9" x14ac:dyDescent="0.25">
      <c r="A14" s="2" t="s">
        <v>28</v>
      </c>
      <c r="C14" s="2" t="s">
        <v>164</v>
      </c>
      <c r="E14" s="2" t="s">
        <v>213</v>
      </c>
      <c r="G14" s="2" t="s">
        <v>26</v>
      </c>
    </row>
    <row r="15" spans="1:9" x14ac:dyDescent="0.25">
      <c r="A15" s="3" t="s">
        <v>28</v>
      </c>
      <c r="C15" s="2" t="s">
        <v>9</v>
      </c>
      <c r="E15" s="2" t="s">
        <v>216</v>
      </c>
      <c r="G15" s="2" t="s">
        <v>24</v>
      </c>
    </row>
    <row r="16" spans="1:9" x14ac:dyDescent="0.25">
      <c r="A16" s="4" t="s">
        <v>144</v>
      </c>
      <c r="C16" s="2" t="s">
        <v>178</v>
      </c>
      <c r="E16" s="2" t="s">
        <v>35</v>
      </c>
      <c r="G16" s="2" t="s">
        <v>293</v>
      </c>
    </row>
    <row r="17" spans="1:7" x14ac:dyDescent="0.25">
      <c r="A17" s="4" t="s">
        <v>142</v>
      </c>
      <c r="C17" s="2" t="s">
        <v>42</v>
      </c>
      <c r="E17" s="2" t="s">
        <v>223</v>
      </c>
      <c r="G17" s="2" t="s">
        <v>17</v>
      </c>
    </row>
    <row r="18" spans="1:7" x14ac:dyDescent="0.25">
      <c r="A18" s="4" t="s">
        <v>140</v>
      </c>
      <c r="E18" s="2" t="s">
        <v>36</v>
      </c>
      <c r="G18" s="2" t="s">
        <v>27</v>
      </c>
    </row>
    <row r="19" spans="1:7" x14ac:dyDescent="0.25">
      <c r="A19" s="4" t="s">
        <v>22</v>
      </c>
      <c r="E19" s="2" t="s">
        <v>304</v>
      </c>
      <c r="G19" s="2" t="s">
        <v>149</v>
      </c>
    </row>
    <row r="20" spans="1:7" x14ac:dyDescent="0.25">
      <c r="A20" s="4" t="s">
        <v>23</v>
      </c>
      <c r="E20" s="2" t="s">
        <v>29</v>
      </c>
      <c r="G20" s="2" t="s">
        <v>96</v>
      </c>
    </row>
    <row r="21" spans="1:7" x14ac:dyDescent="0.25">
      <c r="A21" s="4" t="s">
        <v>25</v>
      </c>
      <c r="E21" s="2" t="s">
        <v>233</v>
      </c>
      <c r="G21" s="2" t="s">
        <v>113</v>
      </c>
    </row>
    <row r="22" spans="1:7" x14ac:dyDescent="0.25">
      <c r="A22" s="4" t="s">
        <v>26</v>
      </c>
      <c r="E22" s="2" t="s">
        <v>236</v>
      </c>
      <c r="G22" s="2" t="s">
        <v>33</v>
      </c>
    </row>
    <row r="23" spans="1:7" x14ac:dyDescent="0.25">
      <c r="A23" s="4" t="s">
        <v>24</v>
      </c>
      <c r="E23" s="2" t="s">
        <v>241</v>
      </c>
      <c r="G23" s="2" t="s">
        <v>30</v>
      </c>
    </row>
    <row r="24" spans="1:7" x14ac:dyDescent="0.25">
      <c r="A24" s="4" t="s">
        <v>17</v>
      </c>
      <c r="E24" s="2" t="s">
        <v>14</v>
      </c>
      <c r="G24" s="2" t="s">
        <v>32</v>
      </c>
    </row>
    <row r="25" spans="1:7" x14ac:dyDescent="0.25">
      <c r="A25" s="4" t="s">
        <v>27</v>
      </c>
      <c r="E25" s="2" t="s">
        <v>257</v>
      </c>
      <c r="G25" s="2" t="s">
        <v>34</v>
      </c>
    </row>
    <row r="26" spans="1:7" x14ac:dyDescent="0.25">
      <c r="A26" s="2" t="s">
        <v>7</v>
      </c>
      <c r="E26" s="2" t="s">
        <v>264</v>
      </c>
      <c r="G26" s="2" t="s">
        <v>42</v>
      </c>
    </row>
    <row r="27" spans="1:7" x14ac:dyDescent="0.25">
      <c r="A27" s="3" t="s">
        <v>12</v>
      </c>
      <c r="E27" s="2" t="s">
        <v>28</v>
      </c>
    </row>
    <row r="28" spans="1:7" x14ac:dyDescent="0.25">
      <c r="A28" s="4" t="s">
        <v>144</v>
      </c>
      <c r="E28" s="2" t="s">
        <v>42</v>
      </c>
    </row>
    <row r="29" spans="1:7" x14ac:dyDescent="0.25">
      <c r="A29" s="4" t="s">
        <v>151</v>
      </c>
    </row>
    <row r="30" spans="1:7" x14ac:dyDescent="0.25">
      <c r="A30" s="4" t="s">
        <v>22</v>
      </c>
    </row>
    <row r="31" spans="1:7" x14ac:dyDescent="0.25">
      <c r="A31" s="4" t="s">
        <v>173</v>
      </c>
    </row>
    <row r="32" spans="1:7" x14ac:dyDescent="0.25">
      <c r="A32" s="4" t="s">
        <v>23</v>
      </c>
    </row>
    <row r="33" spans="1:6" x14ac:dyDescent="0.25">
      <c r="A33" s="4" t="s">
        <v>156</v>
      </c>
    </row>
    <row r="34" spans="1:6" x14ac:dyDescent="0.25">
      <c r="A34" s="4" t="s">
        <v>26</v>
      </c>
    </row>
    <row r="35" spans="1:6" x14ac:dyDescent="0.25">
      <c r="A35" s="4" t="s">
        <v>24</v>
      </c>
    </row>
    <row r="36" spans="1:6" x14ac:dyDescent="0.25">
      <c r="A36" s="4" t="s">
        <v>293</v>
      </c>
      <c r="C36">
        <v>2022</v>
      </c>
      <c r="E36">
        <v>2022</v>
      </c>
    </row>
    <row r="37" spans="1:6" x14ac:dyDescent="0.25">
      <c r="A37" s="4" t="s">
        <v>17</v>
      </c>
      <c r="C37">
        <v>1992</v>
      </c>
      <c r="D37">
        <f>$C$36-C37</f>
        <v>30</v>
      </c>
      <c r="E37">
        <v>1970</v>
      </c>
      <c r="F37">
        <f>$C$36-E37</f>
        <v>52</v>
      </c>
    </row>
    <row r="38" spans="1:6" x14ac:dyDescent="0.25">
      <c r="A38" s="4" t="s">
        <v>27</v>
      </c>
      <c r="C38">
        <v>1963</v>
      </c>
      <c r="D38">
        <f t="shared" ref="D38:F40" si="0">$C$36-C38</f>
        <v>59</v>
      </c>
      <c r="E38">
        <v>1967</v>
      </c>
      <c r="F38">
        <f t="shared" si="0"/>
        <v>55</v>
      </c>
    </row>
    <row r="39" spans="1:6" x14ac:dyDescent="0.25">
      <c r="A39" s="4" t="s">
        <v>149</v>
      </c>
      <c r="C39">
        <v>1972</v>
      </c>
      <c r="D39">
        <f t="shared" si="0"/>
        <v>50</v>
      </c>
      <c r="E39">
        <v>1966</v>
      </c>
      <c r="F39">
        <f t="shared" si="0"/>
        <v>56</v>
      </c>
    </row>
    <row r="40" spans="1:6" x14ac:dyDescent="0.25">
      <c r="A40" s="4" t="s">
        <v>96</v>
      </c>
      <c r="C40">
        <v>1972</v>
      </c>
      <c r="D40">
        <f t="shared" si="0"/>
        <v>50</v>
      </c>
      <c r="E40">
        <v>1972</v>
      </c>
      <c r="F40">
        <f t="shared" si="0"/>
        <v>50</v>
      </c>
    </row>
    <row r="41" spans="1:6" x14ac:dyDescent="0.25">
      <c r="A41" s="3" t="s">
        <v>182</v>
      </c>
      <c r="D41">
        <f>SUM(D37:D40)</f>
        <v>189</v>
      </c>
      <c r="F41">
        <f>SUM(F37:F40)</f>
        <v>213</v>
      </c>
    </row>
    <row r="42" spans="1:6" x14ac:dyDescent="0.25">
      <c r="A42" s="4" t="s">
        <v>144</v>
      </c>
    </row>
    <row r="43" spans="1:6" x14ac:dyDescent="0.25">
      <c r="A43" s="4" t="s">
        <v>137</v>
      </c>
    </row>
    <row r="44" spans="1:6" x14ac:dyDescent="0.25">
      <c r="A44" s="4" t="s">
        <v>142</v>
      </c>
    </row>
    <row r="45" spans="1:6" x14ac:dyDescent="0.25">
      <c r="A45" s="4" t="s">
        <v>140</v>
      </c>
    </row>
    <row r="46" spans="1:6" x14ac:dyDescent="0.25">
      <c r="A46" s="4" t="s">
        <v>173</v>
      </c>
    </row>
    <row r="47" spans="1:6" x14ac:dyDescent="0.25">
      <c r="A47" s="4" t="s">
        <v>156</v>
      </c>
    </row>
    <row r="48" spans="1:6" x14ac:dyDescent="0.25">
      <c r="A48" s="3" t="s">
        <v>241</v>
      </c>
      <c r="E48" t="s">
        <v>281</v>
      </c>
      <c r="F48" t="s">
        <v>282</v>
      </c>
    </row>
    <row r="49" spans="1:6" x14ac:dyDescent="0.25">
      <c r="A49" s="4" t="s">
        <v>144</v>
      </c>
      <c r="E49" t="s">
        <v>283</v>
      </c>
      <c r="F49" t="s">
        <v>284</v>
      </c>
    </row>
    <row r="50" spans="1:6" x14ac:dyDescent="0.25">
      <c r="A50" s="4" t="s">
        <v>142</v>
      </c>
      <c r="E50" t="s">
        <v>283</v>
      </c>
      <c r="F50" t="s">
        <v>285</v>
      </c>
    </row>
    <row r="51" spans="1:6" x14ac:dyDescent="0.25">
      <c r="A51" s="4" t="s">
        <v>140</v>
      </c>
      <c r="E51" t="s">
        <v>276</v>
      </c>
      <c r="F51" s="6" t="s">
        <v>274</v>
      </c>
    </row>
    <row r="52" spans="1:6" x14ac:dyDescent="0.25">
      <c r="A52" s="2" t="s">
        <v>21</v>
      </c>
      <c r="E52" t="s">
        <v>277</v>
      </c>
      <c r="F52" t="s">
        <v>278</v>
      </c>
    </row>
    <row r="53" spans="1:6" x14ac:dyDescent="0.25">
      <c r="A53" s="3" t="s">
        <v>213</v>
      </c>
      <c r="E53" t="s">
        <v>280</v>
      </c>
      <c r="F53">
        <v>3</v>
      </c>
    </row>
    <row r="54" spans="1:6" x14ac:dyDescent="0.25">
      <c r="A54" s="4" t="s">
        <v>144</v>
      </c>
      <c r="E54" t="s">
        <v>279</v>
      </c>
      <c r="F54">
        <v>6</v>
      </c>
    </row>
    <row r="55" spans="1:6" x14ac:dyDescent="0.25">
      <c r="A55" s="3" t="s">
        <v>36</v>
      </c>
      <c r="E55" t="s">
        <v>275</v>
      </c>
      <c r="F55">
        <v>4</v>
      </c>
    </row>
    <row r="56" spans="1:6" x14ac:dyDescent="0.25">
      <c r="A56" s="4" t="s">
        <v>144</v>
      </c>
      <c r="E56" t="s">
        <v>286</v>
      </c>
      <c r="F56" t="s">
        <v>287</v>
      </c>
    </row>
    <row r="57" spans="1:6" x14ac:dyDescent="0.25">
      <c r="A57" s="4" t="s">
        <v>137</v>
      </c>
    </row>
    <row r="58" spans="1:6" x14ac:dyDescent="0.25">
      <c r="A58" s="4" t="s">
        <v>142</v>
      </c>
    </row>
    <row r="59" spans="1:6" x14ac:dyDescent="0.25">
      <c r="A59" s="4" t="s">
        <v>33</v>
      </c>
    </row>
    <row r="60" spans="1:6" x14ac:dyDescent="0.25">
      <c r="A60" s="4" t="s">
        <v>30</v>
      </c>
    </row>
    <row r="61" spans="1:6" x14ac:dyDescent="0.25">
      <c r="A61" s="4" t="s">
        <v>32</v>
      </c>
    </row>
    <row r="62" spans="1:6" x14ac:dyDescent="0.25">
      <c r="A62" s="4" t="s">
        <v>34</v>
      </c>
    </row>
    <row r="63" spans="1:6" x14ac:dyDescent="0.25">
      <c r="A63" s="4" t="s">
        <v>113</v>
      </c>
    </row>
    <row r="64" spans="1:6" x14ac:dyDescent="0.25">
      <c r="A64" s="2" t="s">
        <v>19</v>
      </c>
    </row>
    <row r="65" spans="1:1" x14ac:dyDescent="0.25">
      <c r="A65" s="3" t="s">
        <v>216</v>
      </c>
    </row>
    <row r="66" spans="1:1" x14ac:dyDescent="0.25">
      <c r="A66" s="4" t="s">
        <v>144</v>
      </c>
    </row>
    <row r="67" spans="1:1" x14ac:dyDescent="0.25">
      <c r="A67" s="3" t="s">
        <v>29</v>
      </c>
    </row>
    <row r="68" spans="1:1" x14ac:dyDescent="0.25">
      <c r="A68" s="4" t="s">
        <v>144</v>
      </c>
    </row>
    <row r="69" spans="1:1" x14ac:dyDescent="0.25">
      <c r="A69" s="4" t="s">
        <v>137</v>
      </c>
    </row>
    <row r="70" spans="1:1" x14ac:dyDescent="0.25">
      <c r="A70" s="4" t="s">
        <v>142</v>
      </c>
    </row>
    <row r="71" spans="1:1" x14ac:dyDescent="0.25">
      <c r="A71" s="4" t="s">
        <v>33</v>
      </c>
    </row>
    <row r="72" spans="1:1" x14ac:dyDescent="0.25">
      <c r="A72" s="4" t="s">
        <v>30</v>
      </c>
    </row>
    <row r="73" spans="1:1" x14ac:dyDescent="0.25">
      <c r="A73" s="4" t="s">
        <v>32</v>
      </c>
    </row>
    <row r="74" spans="1:1" x14ac:dyDescent="0.25">
      <c r="A74" s="4" t="s">
        <v>34</v>
      </c>
    </row>
    <row r="75" spans="1:1" x14ac:dyDescent="0.25">
      <c r="A75" s="4" t="s">
        <v>113</v>
      </c>
    </row>
    <row r="76" spans="1:1" x14ac:dyDescent="0.25">
      <c r="A76" s="2" t="s">
        <v>20</v>
      </c>
    </row>
    <row r="77" spans="1:1" x14ac:dyDescent="0.25">
      <c r="A77" s="3" t="s">
        <v>208</v>
      </c>
    </row>
    <row r="78" spans="1:1" x14ac:dyDescent="0.25">
      <c r="A78" s="4" t="s">
        <v>144</v>
      </c>
    </row>
    <row r="79" spans="1:1" x14ac:dyDescent="0.25">
      <c r="A79" s="3" t="s">
        <v>35</v>
      </c>
    </row>
    <row r="80" spans="1:1" x14ac:dyDescent="0.25">
      <c r="A80" s="4" t="s">
        <v>144</v>
      </c>
    </row>
    <row r="81" spans="1:1" x14ac:dyDescent="0.25">
      <c r="A81" s="4" t="s">
        <v>142</v>
      </c>
    </row>
    <row r="82" spans="1:1" x14ac:dyDescent="0.25">
      <c r="A82" s="4" t="s">
        <v>33</v>
      </c>
    </row>
    <row r="83" spans="1:1" x14ac:dyDescent="0.25">
      <c r="A83" s="4" t="s">
        <v>30</v>
      </c>
    </row>
    <row r="84" spans="1:1" x14ac:dyDescent="0.25">
      <c r="A84" s="4" t="s">
        <v>32</v>
      </c>
    </row>
    <row r="85" spans="1:1" x14ac:dyDescent="0.25">
      <c r="A85" s="4" t="s">
        <v>34</v>
      </c>
    </row>
    <row r="86" spans="1:1" x14ac:dyDescent="0.25">
      <c r="A86" s="4" t="s">
        <v>113</v>
      </c>
    </row>
    <row r="87" spans="1:1" x14ac:dyDescent="0.25">
      <c r="A87" s="2" t="s">
        <v>224</v>
      </c>
    </row>
    <row r="88" spans="1:1" x14ac:dyDescent="0.25">
      <c r="A88" s="3" t="s">
        <v>223</v>
      </c>
    </row>
    <row r="89" spans="1:1" x14ac:dyDescent="0.25">
      <c r="A89" s="4" t="s">
        <v>144</v>
      </c>
    </row>
    <row r="90" spans="1:1" x14ac:dyDescent="0.25">
      <c r="A90" s="3" t="s">
        <v>233</v>
      </c>
    </row>
    <row r="91" spans="1:1" x14ac:dyDescent="0.25">
      <c r="A91" s="4" t="s">
        <v>144</v>
      </c>
    </row>
    <row r="92" spans="1:1" x14ac:dyDescent="0.25">
      <c r="A92" s="4" t="s">
        <v>142</v>
      </c>
    </row>
    <row r="93" spans="1:1" x14ac:dyDescent="0.25">
      <c r="A93" s="4" t="s">
        <v>140</v>
      </c>
    </row>
    <row r="94" spans="1:1" x14ac:dyDescent="0.25">
      <c r="A94" s="2" t="s">
        <v>10</v>
      </c>
    </row>
    <row r="95" spans="1:1" x14ac:dyDescent="0.25">
      <c r="A95" s="3" t="s">
        <v>201</v>
      </c>
    </row>
    <row r="96" spans="1:1" x14ac:dyDescent="0.25">
      <c r="A96" s="4" t="s">
        <v>144</v>
      </c>
    </row>
    <row r="97" spans="1:1" x14ac:dyDescent="0.25">
      <c r="A97" s="4" t="s">
        <v>142</v>
      </c>
    </row>
    <row r="98" spans="1:1" x14ac:dyDescent="0.25">
      <c r="A98" s="4" t="s">
        <v>140</v>
      </c>
    </row>
    <row r="99" spans="1:1" x14ac:dyDescent="0.25">
      <c r="A99" s="3" t="s">
        <v>14</v>
      </c>
    </row>
    <row r="100" spans="1:1" x14ac:dyDescent="0.25">
      <c r="A100" s="4" t="s">
        <v>144</v>
      </c>
    </row>
    <row r="101" spans="1:1" x14ac:dyDescent="0.25">
      <c r="A101" s="4" t="s">
        <v>137</v>
      </c>
    </row>
    <row r="102" spans="1:1" x14ac:dyDescent="0.25">
      <c r="A102" s="4" t="s">
        <v>151</v>
      </c>
    </row>
    <row r="103" spans="1:1" x14ac:dyDescent="0.25">
      <c r="A103" s="4" t="s">
        <v>142</v>
      </c>
    </row>
    <row r="104" spans="1:1" x14ac:dyDescent="0.25">
      <c r="A104" s="4" t="s">
        <v>140</v>
      </c>
    </row>
    <row r="105" spans="1:1" x14ac:dyDescent="0.25">
      <c r="A105" s="4" t="s">
        <v>22</v>
      </c>
    </row>
    <row r="106" spans="1:1" x14ac:dyDescent="0.25">
      <c r="A106" s="4" t="s">
        <v>173</v>
      </c>
    </row>
    <row r="107" spans="1:1" x14ac:dyDescent="0.25">
      <c r="A107" s="4" t="s">
        <v>23</v>
      </c>
    </row>
    <row r="108" spans="1:1" x14ac:dyDescent="0.25">
      <c r="A108" s="4" t="s">
        <v>25</v>
      </c>
    </row>
    <row r="109" spans="1:1" x14ac:dyDescent="0.25">
      <c r="A109" s="4" t="s">
        <v>156</v>
      </c>
    </row>
    <row r="110" spans="1:1" x14ac:dyDescent="0.25">
      <c r="A110" s="4" t="s">
        <v>26</v>
      </c>
    </row>
    <row r="111" spans="1:1" x14ac:dyDescent="0.25">
      <c r="A111" s="4" t="s">
        <v>24</v>
      </c>
    </row>
    <row r="112" spans="1:1" x14ac:dyDescent="0.25">
      <c r="A112" s="4" t="s">
        <v>293</v>
      </c>
    </row>
    <row r="113" spans="1:1" x14ac:dyDescent="0.25">
      <c r="A113" s="4" t="s">
        <v>17</v>
      </c>
    </row>
    <row r="114" spans="1:1" x14ac:dyDescent="0.25">
      <c r="A114" s="4" t="s">
        <v>27</v>
      </c>
    </row>
    <row r="115" spans="1:1" x14ac:dyDescent="0.25">
      <c r="A115" s="4" t="s">
        <v>149</v>
      </c>
    </row>
    <row r="116" spans="1:1" x14ac:dyDescent="0.25">
      <c r="A116" s="4" t="s">
        <v>96</v>
      </c>
    </row>
    <row r="117" spans="1:1" x14ac:dyDescent="0.25">
      <c r="A117" s="2" t="s">
        <v>11</v>
      </c>
    </row>
    <row r="118" spans="1:1" x14ac:dyDescent="0.25">
      <c r="A118" s="3" t="s">
        <v>15</v>
      </c>
    </row>
    <row r="119" spans="1:1" x14ac:dyDescent="0.25">
      <c r="A119" s="4" t="s">
        <v>144</v>
      </c>
    </row>
    <row r="120" spans="1:1" x14ac:dyDescent="0.25">
      <c r="A120" s="4" t="s">
        <v>137</v>
      </c>
    </row>
    <row r="121" spans="1:1" x14ac:dyDescent="0.25">
      <c r="A121" s="4" t="s">
        <v>142</v>
      </c>
    </row>
    <row r="122" spans="1:1" x14ac:dyDescent="0.25">
      <c r="A122" s="4" t="s">
        <v>140</v>
      </c>
    </row>
    <row r="123" spans="1:1" x14ac:dyDescent="0.25">
      <c r="A123" s="4" t="s">
        <v>22</v>
      </c>
    </row>
    <row r="124" spans="1:1" x14ac:dyDescent="0.25">
      <c r="A124" s="4" t="s">
        <v>173</v>
      </c>
    </row>
    <row r="125" spans="1:1" x14ac:dyDescent="0.25">
      <c r="A125" s="4" t="s">
        <v>23</v>
      </c>
    </row>
    <row r="126" spans="1:1" x14ac:dyDescent="0.25">
      <c r="A126" s="4" t="s">
        <v>25</v>
      </c>
    </row>
    <row r="127" spans="1:1" x14ac:dyDescent="0.25">
      <c r="A127" s="4" t="s">
        <v>156</v>
      </c>
    </row>
    <row r="128" spans="1:1" x14ac:dyDescent="0.25">
      <c r="A128" s="4" t="s">
        <v>26</v>
      </c>
    </row>
    <row r="129" spans="1:1" x14ac:dyDescent="0.25">
      <c r="A129" s="4" t="s">
        <v>24</v>
      </c>
    </row>
    <row r="130" spans="1:1" x14ac:dyDescent="0.25">
      <c r="A130" s="4" t="s">
        <v>293</v>
      </c>
    </row>
    <row r="131" spans="1:1" x14ac:dyDescent="0.25">
      <c r="A131" s="4" t="s">
        <v>17</v>
      </c>
    </row>
    <row r="132" spans="1:1" x14ac:dyDescent="0.25">
      <c r="A132" s="4" t="s">
        <v>27</v>
      </c>
    </row>
    <row r="133" spans="1:1" x14ac:dyDescent="0.25">
      <c r="A133" s="4" t="s">
        <v>149</v>
      </c>
    </row>
    <row r="134" spans="1:1" x14ac:dyDescent="0.25">
      <c r="A134" s="4" t="s">
        <v>96</v>
      </c>
    </row>
    <row r="135" spans="1:1" x14ac:dyDescent="0.25">
      <c r="A135" s="3" t="s">
        <v>257</v>
      </c>
    </row>
    <row r="136" spans="1:1" x14ac:dyDescent="0.25">
      <c r="A136" s="4" t="s">
        <v>144</v>
      </c>
    </row>
    <row r="137" spans="1:1" x14ac:dyDescent="0.25">
      <c r="A137" s="4" t="s">
        <v>142</v>
      </c>
    </row>
    <row r="138" spans="1:1" x14ac:dyDescent="0.25">
      <c r="A138" s="4" t="s">
        <v>140</v>
      </c>
    </row>
    <row r="139" spans="1:1" x14ac:dyDescent="0.25">
      <c r="A139" s="2" t="s">
        <v>164</v>
      </c>
    </row>
    <row r="140" spans="1:1" x14ac:dyDescent="0.25">
      <c r="A140" s="3" t="s">
        <v>163</v>
      </c>
    </row>
    <row r="141" spans="1:1" x14ac:dyDescent="0.25">
      <c r="A141" s="4" t="s">
        <v>151</v>
      </c>
    </row>
    <row r="142" spans="1:1" x14ac:dyDescent="0.25">
      <c r="A142" s="2" t="s">
        <v>9</v>
      </c>
    </row>
    <row r="143" spans="1:1" x14ac:dyDescent="0.25">
      <c r="A143" s="3" t="s">
        <v>13</v>
      </c>
    </row>
    <row r="144" spans="1:1" x14ac:dyDescent="0.25">
      <c r="A144" s="4" t="s">
        <v>144</v>
      </c>
    </row>
    <row r="145" spans="1:1" x14ac:dyDescent="0.25">
      <c r="A145" s="4" t="s">
        <v>151</v>
      </c>
    </row>
    <row r="146" spans="1:1" x14ac:dyDescent="0.25">
      <c r="A146" s="4" t="s">
        <v>142</v>
      </c>
    </row>
    <row r="147" spans="1:1" x14ac:dyDescent="0.25">
      <c r="A147" s="4" t="s">
        <v>140</v>
      </c>
    </row>
    <row r="148" spans="1:1" x14ac:dyDescent="0.25">
      <c r="A148" s="4" t="s">
        <v>22</v>
      </c>
    </row>
    <row r="149" spans="1:1" x14ac:dyDescent="0.25">
      <c r="A149" s="4" t="s">
        <v>173</v>
      </c>
    </row>
    <row r="150" spans="1:1" x14ac:dyDescent="0.25">
      <c r="A150" s="4" t="s">
        <v>23</v>
      </c>
    </row>
    <row r="151" spans="1:1" x14ac:dyDescent="0.25">
      <c r="A151" s="4" t="s">
        <v>25</v>
      </c>
    </row>
    <row r="152" spans="1:1" x14ac:dyDescent="0.25">
      <c r="A152" s="4" t="s">
        <v>156</v>
      </c>
    </row>
    <row r="153" spans="1:1" x14ac:dyDescent="0.25">
      <c r="A153" s="4" t="s">
        <v>26</v>
      </c>
    </row>
    <row r="154" spans="1:1" x14ac:dyDescent="0.25">
      <c r="A154" s="4" t="s">
        <v>24</v>
      </c>
    </row>
    <row r="155" spans="1:1" x14ac:dyDescent="0.25">
      <c r="A155" s="4" t="s">
        <v>293</v>
      </c>
    </row>
    <row r="156" spans="1:1" x14ac:dyDescent="0.25">
      <c r="A156" s="4" t="s">
        <v>17</v>
      </c>
    </row>
    <row r="157" spans="1:1" x14ac:dyDescent="0.25">
      <c r="A157" s="4" t="s">
        <v>27</v>
      </c>
    </row>
    <row r="158" spans="1:1" x14ac:dyDescent="0.25">
      <c r="A158" s="4" t="s">
        <v>149</v>
      </c>
    </row>
    <row r="159" spans="1:1" x14ac:dyDescent="0.25">
      <c r="A159" s="4" t="s">
        <v>96</v>
      </c>
    </row>
    <row r="160" spans="1:1" x14ac:dyDescent="0.25">
      <c r="A160" s="3" t="s">
        <v>264</v>
      </c>
    </row>
    <row r="161" spans="1:3" x14ac:dyDescent="0.25">
      <c r="A161" s="4" t="s">
        <v>144</v>
      </c>
    </row>
    <row r="162" spans="1:3" x14ac:dyDescent="0.25">
      <c r="A162" s="4" t="s">
        <v>142</v>
      </c>
      <c r="C162" s="7" t="s">
        <v>312</v>
      </c>
    </row>
    <row r="163" spans="1:3" x14ac:dyDescent="0.25">
      <c r="A163" s="4" t="s">
        <v>140</v>
      </c>
      <c r="C163" s="7" t="s">
        <v>289</v>
      </c>
    </row>
    <row r="164" spans="1:3" x14ac:dyDescent="0.25">
      <c r="A164" s="2" t="s">
        <v>178</v>
      </c>
      <c r="C164" s="7" t="s">
        <v>313</v>
      </c>
    </row>
    <row r="165" spans="1:3" x14ac:dyDescent="0.25">
      <c r="A165" s="3" t="s">
        <v>177</v>
      </c>
      <c r="C165" s="7" t="s">
        <v>314</v>
      </c>
    </row>
    <row r="166" spans="1:3" x14ac:dyDescent="0.25">
      <c r="A166" s="4" t="s">
        <v>144</v>
      </c>
      <c r="C166" s="7" t="s">
        <v>315</v>
      </c>
    </row>
    <row r="167" spans="1:3" x14ac:dyDescent="0.25">
      <c r="A167" s="4" t="s">
        <v>142</v>
      </c>
      <c r="C167" s="7" t="s">
        <v>316</v>
      </c>
    </row>
    <row r="168" spans="1:3" x14ac:dyDescent="0.25">
      <c r="A168" s="4" t="s">
        <v>140</v>
      </c>
      <c r="C168" s="7" t="s">
        <v>317</v>
      </c>
    </row>
    <row r="169" spans="1:3" x14ac:dyDescent="0.25">
      <c r="A169" s="3" t="s">
        <v>194</v>
      </c>
      <c r="C169" s="7" t="s">
        <v>318</v>
      </c>
    </row>
    <row r="170" spans="1:3" x14ac:dyDescent="0.25">
      <c r="A170" s="4" t="s">
        <v>144</v>
      </c>
      <c r="C170" s="7" t="s">
        <v>319</v>
      </c>
    </row>
    <row r="171" spans="1:3" x14ac:dyDescent="0.25">
      <c r="A171" s="4" t="s">
        <v>137</v>
      </c>
      <c r="C171" s="7" t="s">
        <v>290</v>
      </c>
    </row>
    <row r="172" spans="1:3" x14ac:dyDescent="0.25">
      <c r="A172" s="4" t="s">
        <v>142</v>
      </c>
      <c r="C172" s="7" t="s">
        <v>289</v>
      </c>
    </row>
    <row r="173" spans="1:3" x14ac:dyDescent="0.25">
      <c r="A173" s="4" t="s">
        <v>140</v>
      </c>
      <c r="C173" s="7" t="s">
        <v>320</v>
      </c>
    </row>
    <row r="174" spans="1:3" x14ac:dyDescent="0.25">
      <c r="A174" s="2" t="s">
        <v>305</v>
      </c>
      <c r="C174" s="7" t="s">
        <v>314</v>
      </c>
    </row>
    <row r="175" spans="1:3" x14ac:dyDescent="0.25">
      <c r="A175" s="3" t="s">
        <v>304</v>
      </c>
      <c r="C175" s="7" t="s">
        <v>315</v>
      </c>
    </row>
    <row r="176" spans="1:3" x14ac:dyDescent="0.25">
      <c r="A176" s="4" t="s">
        <v>137</v>
      </c>
      <c r="C176" s="7" t="s">
        <v>321</v>
      </c>
    </row>
    <row r="177" spans="1:3" x14ac:dyDescent="0.25">
      <c r="A177" s="2" t="s">
        <v>42</v>
      </c>
      <c r="C177" s="7" t="s">
        <v>317</v>
      </c>
    </row>
    <row r="178" spans="1:3" x14ac:dyDescent="0.25">
      <c r="C178" s="7" t="s">
        <v>318</v>
      </c>
    </row>
    <row r="179" spans="1:3" x14ac:dyDescent="0.25">
      <c r="C179" s="7" t="s">
        <v>319</v>
      </c>
    </row>
    <row r="180" spans="1:3" x14ac:dyDescent="0.25">
      <c r="C180" s="7" t="s">
        <v>291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8C098-6E75-4EE1-B5CA-CF608FF1FDBC}">
  <dimension ref="A1:H240"/>
  <sheetViews>
    <sheetView workbookViewId="0">
      <selection activeCell="A141" sqref="A141"/>
    </sheetView>
  </sheetViews>
  <sheetFormatPr defaultRowHeight="15" x14ac:dyDescent="0.25"/>
  <cols>
    <col min="1" max="1" width="59.7109375" bestFit="1" customWidth="1"/>
    <col min="2" max="2" width="44.7109375" bestFit="1" customWidth="1"/>
    <col min="3" max="3" width="15.140625" customWidth="1"/>
    <col min="4" max="4" width="20" bestFit="1" customWidth="1"/>
    <col min="5" max="5" width="22.5703125" customWidth="1"/>
    <col min="6" max="6" width="39" bestFit="1" customWidth="1"/>
    <col min="7" max="7" width="81.140625" bestFit="1" customWidth="1"/>
    <col min="8" max="8" width="13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40</v>
      </c>
      <c r="H1" t="s">
        <v>39</v>
      </c>
    </row>
    <row r="2" spans="1:8" x14ac:dyDescent="0.25">
      <c r="A2" t="s">
        <v>143</v>
      </c>
      <c r="B2" t="s">
        <v>136</v>
      </c>
      <c r="C2" t="s">
        <v>6</v>
      </c>
      <c r="D2" t="s">
        <v>144</v>
      </c>
      <c r="E2" s="5" t="s">
        <v>37</v>
      </c>
      <c r="F2" t="s">
        <v>138</v>
      </c>
      <c r="G2" t="str">
        <f>_xlfn.CONCAT(Canonical[[#This Row],[Column1.id]:[Column1.discipline]])</f>
        <v>e_100_m_combinada_de_salvamento_absoluto_f100 m Combinada de SalvamentoFAbsoluta100Combinada de Salvamento</v>
      </c>
      <c r="H2">
        <f>COUNTIF(Canonical[Column1.id],Canonical[[#This Row],[Column1.id]])</f>
        <v>1</v>
      </c>
    </row>
    <row r="3" spans="1:8" x14ac:dyDescent="0.25">
      <c r="A3" t="s">
        <v>147</v>
      </c>
      <c r="B3" t="s">
        <v>136</v>
      </c>
      <c r="C3" t="s">
        <v>8</v>
      </c>
      <c r="D3" t="s">
        <v>144</v>
      </c>
      <c r="E3" s="5" t="s">
        <v>37</v>
      </c>
      <c r="F3" t="s">
        <v>138</v>
      </c>
      <c r="G3" t="str">
        <f>_xlfn.CONCAT(Canonical[[#This Row],[Column1.id]:[Column1.discipline]])</f>
        <v>e_100_m_combinada_de_salvamento_absoluto_m100 m Combinada de SalvamentoMAbsoluta100Combinada de Salvamento</v>
      </c>
      <c r="H3">
        <f>COUNTIF(Canonical[Column1.id],Canonical[[#This Row],[Column1.id]])</f>
        <v>1</v>
      </c>
    </row>
    <row r="4" spans="1:8" x14ac:dyDescent="0.25">
      <c r="A4" t="s">
        <v>135</v>
      </c>
      <c r="B4" t="s">
        <v>136</v>
      </c>
      <c r="C4" t="s">
        <v>8</v>
      </c>
      <c r="D4" t="s">
        <v>137</v>
      </c>
      <c r="E4" s="5" t="s">
        <v>37</v>
      </c>
      <c r="F4" t="s">
        <v>138</v>
      </c>
      <c r="G4" t="str">
        <f>_xlfn.CONCAT(Canonical[[#This Row],[Column1.id]:[Column1.discipline]])</f>
        <v>e_100_m_combinada_de_salvamento_cadete_m100 m Combinada de SalvamentoMCadete100Combinada de Salvamento</v>
      </c>
      <c r="H4">
        <f>COUNTIF(Canonical[Column1.id],Canonical[[#This Row],[Column1.id]])</f>
        <v>1</v>
      </c>
    </row>
    <row r="5" spans="1:8" x14ac:dyDescent="0.25">
      <c r="A5" t="s">
        <v>141</v>
      </c>
      <c r="B5" t="s">
        <v>136</v>
      </c>
      <c r="C5" t="s">
        <v>6</v>
      </c>
      <c r="D5" t="s">
        <v>142</v>
      </c>
      <c r="E5" s="5" t="s">
        <v>37</v>
      </c>
      <c r="F5" t="s">
        <v>138</v>
      </c>
      <c r="G5" t="str">
        <f>_xlfn.CONCAT(Canonical[[#This Row],[Column1.id]:[Column1.discipline]])</f>
        <v>e_100_m_combinada_de_salvamento_junior_f100 m Combinada de SalvamentoFJúnior100Combinada de Salvamento</v>
      </c>
      <c r="H5">
        <f>COUNTIF(Canonical[Column1.id],Canonical[[#This Row],[Column1.id]])</f>
        <v>1</v>
      </c>
    </row>
    <row r="6" spans="1:8" x14ac:dyDescent="0.25">
      <c r="A6" t="s">
        <v>146</v>
      </c>
      <c r="B6" t="s">
        <v>136</v>
      </c>
      <c r="C6" t="s">
        <v>8</v>
      </c>
      <c r="D6" t="s">
        <v>142</v>
      </c>
      <c r="E6" s="5" t="s">
        <v>37</v>
      </c>
      <c r="F6" t="s">
        <v>138</v>
      </c>
      <c r="G6" t="str">
        <f>_xlfn.CONCAT(Canonical[[#This Row],[Column1.id]:[Column1.discipline]])</f>
        <v>e_100_m_combinada_de_salvamento_junior_m100 m Combinada de SalvamentoMJúnior100Combinada de Salvamento</v>
      </c>
      <c r="H6">
        <f>COUNTIF(Canonical[Column1.id],Canonical[[#This Row],[Column1.id]])</f>
        <v>1</v>
      </c>
    </row>
    <row r="7" spans="1:8" x14ac:dyDescent="0.25">
      <c r="A7" t="s">
        <v>139</v>
      </c>
      <c r="B7" t="s">
        <v>136</v>
      </c>
      <c r="C7" t="s">
        <v>6</v>
      </c>
      <c r="D7" t="s">
        <v>140</v>
      </c>
      <c r="E7" s="5" t="s">
        <v>37</v>
      </c>
      <c r="F7" t="s">
        <v>138</v>
      </c>
      <c r="G7" t="str">
        <f>_xlfn.CONCAT(Canonical[[#This Row],[Column1.id]:[Column1.discipline]])</f>
        <v>e_100_m_combinada_de_salvamento_juvenil_f100 m Combinada de SalvamentoFJuvenil100Combinada de Salvamento</v>
      </c>
      <c r="H7">
        <f>COUNTIF(Canonical[Column1.id],Canonical[[#This Row],[Column1.id]])</f>
        <v>1</v>
      </c>
    </row>
    <row r="8" spans="1:8" x14ac:dyDescent="0.25">
      <c r="A8" t="s">
        <v>145</v>
      </c>
      <c r="B8" t="s">
        <v>136</v>
      </c>
      <c r="C8" t="s">
        <v>8</v>
      </c>
      <c r="D8" t="s">
        <v>140</v>
      </c>
      <c r="E8" s="5" t="s">
        <v>37</v>
      </c>
      <c r="F8" t="s">
        <v>138</v>
      </c>
      <c r="G8" t="str">
        <f>_xlfn.CONCAT(Canonical[[#This Row],[Column1.id]:[Column1.discipline]])</f>
        <v>e_100_m_combinada_de_salvamento_juvenil_m100 m Combinada de SalvamentoMJuvenil100Combinada de Salvamento</v>
      </c>
      <c r="H8">
        <f>COUNTIF(Canonical[Column1.id],Canonical[[#This Row],[Column1.id]])</f>
        <v>1</v>
      </c>
    </row>
    <row r="9" spans="1:8" x14ac:dyDescent="0.25">
      <c r="A9" t="s">
        <v>324</v>
      </c>
      <c r="B9" t="s">
        <v>12</v>
      </c>
      <c r="C9" t="s">
        <v>6</v>
      </c>
      <c r="D9" t="s">
        <v>144</v>
      </c>
      <c r="E9" s="5" t="s">
        <v>37</v>
      </c>
      <c r="F9" t="s">
        <v>7</v>
      </c>
      <c r="G9" t="str">
        <f>_xlfn.CONCAT(Canonical[[#This Row],[Column1.id]:[Column1.discipline]])</f>
        <v>e_100_m_natacion_con_obstaculos_absoluto_f100 m Natación con ObstáculosFAbsoluta100Natación con Obstáculos</v>
      </c>
      <c r="H9">
        <f>COUNTIF(Canonical[Column1.id],Canonical[[#This Row],[Column1.id]])</f>
        <v>1</v>
      </c>
    </row>
    <row r="10" spans="1:8" x14ac:dyDescent="0.25">
      <c r="A10" t="s">
        <v>326</v>
      </c>
      <c r="B10" t="s">
        <v>12</v>
      </c>
      <c r="C10" t="s">
        <v>8</v>
      </c>
      <c r="D10" t="s">
        <v>144</v>
      </c>
      <c r="E10" s="5" t="s">
        <v>37</v>
      </c>
      <c r="F10" t="s">
        <v>7</v>
      </c>
      <c r="G10" t="str">
        <f>_xlfn.CONCAT(Canonical[[#This Row],[Column1.id]:[Column1.discipline]])</f>
        <v>e_100_m_natacion_con_obstaculos_absoluto_m100 m Natación con ObstáculosMAbsoluta100Natación con Obstáculos</v>
      </c>
      <c r="H10">
        <f>COUNTIF(Canonical[Column1.id],Canonical[[#This Row],[Column1.id]])</f>
        <v>1</v>
      </c>
    </row>
    <row r="11" spans="1:8" x14ac:dyDescent="0.25">
      <c r="A11" t="s">
        <v>150</v>
      </c>
      <c r="B11" t="s">
        <v>12</v>
      </c>
      <c r="C11" t="s">
        <v>8</v>
      </c>
      <c r="D11" t="s">
        <v>151</v>
      </c>
      <c r="E11" s="5" t="s">
        <v>37</v>
      </c>
      <c r="F11" t="s">
        <v>7</v>
      </c>
      <c r="G11" t="str">
        <f>_xlfn.CONCAT(Canonical[[#This Row],[Column1.id]:[Column1.discipline]])</f>
        <v>e_100_m_natacion_con_obstaculos_infantil_m100 m Natación con ObstáculosMInfantil100Natación con Obstáculos</v>
      </c>
      <c r="H11">
        <f>COUNTIF(Canonical[Column1.id],Canonical[[#This Row],[Column1.id]])</f>
        <v>1</v>
      </c>
    </row>
    <row r="12" spans="1:8" x14ac:dyDescent="0.25">
      <c r="A12" t="s">
        <v>99</v>
      </c>
      <c r="B12" t="s">
        <v>12</v>
      </c>
      <c r="C12" t="s">
        <v>6</v>
      </c>
      <c r="D12" t="s">
        <v>22</v>
      </c>
      <c r="E12" s="5" t="s">
        <v>37</v>
      </c>
      <c r="F12" t="s">
        <v>7</v>
      </c>
      <c r="G12" t="str">
        <f>_xlfn.CONCAT(Canonical[[#This Row],[Column1.id]:[Column1.discipline]])</f>
        <v>e_100_m_natacion_con_obstaculos_master_30_34_f100 m Natación con ObstáculosFMáster 30-34100Natación con Obstáculos</v>
      </c>
      <c r="H12">
        <f>COUNTIF(Canonical[Column1.id],Canonical[[#This Row],[Column1.id]])</f>
        <v>1</v>
      </c>
    </row>
    <row r="13" spans="1:8" x14ac:dyDescent="0.25">
      <c r="A13" t="s">
        <v>101</v>
      </c>
      <c r="B13" t="s">
        <v>12</v>
      </c>
      <c r="C13" t="s">
        <v>8</v>
      </c>
      <c r="D13" t="s">
        <v>22</v>
      </c>
      <c r="E13" s="5" t="s">
        <v>37</v>
      </c>
      <c r="F13" t="s">
        <v>7</v>
      </c>
      <c r="G13" t="str">
        <f>_xlfn.CONCAT(Canonical[[#This Row],[Column1.id]:[Column1.discipline]])</f>
        <v>e_100_m_natacion_con_obstaculos_master_30_34_m100 m Natación con ObstáculosMMáster 30-34100Natación con Obstáculos</v>
      </c>
      <c r="H13">
        <f>COUNTIF(Canonical[Column1.id],Canonical[[#This Row],[Column1.id]])</f>
        <v>1</v>
      </c>
    </row>
    <row r="14" spans="1:8" x14ac:dyDescent="0.25">
      <c r="A14" t="s">
        <v>325</v>
      </c>
      <c r="B14" t="s">
        <v>12</v>
      </c>
      <c r="C14" t="s">
        <v>6</v>
      </c>
      <c r="D14" t="s">
        <v>173</v>
      </c>
      <c r="E14" s="5" t="s">
        <v>37</v>
      </c>
      <c r="F14" t="s">
        <v>7</v>
      </c>
      <c r="G14" t="str">
        <f>_xlfn.CONCAT(Canonical[[#This Row],[Column1.id]:[Column1.discipline]])</f>
        <v>e_100_m_natacion_con_obstaculos_master_30_39_f100 m Natación con ObstáculosFMáster 30-39100Natación con Obstáculos</v>
      </c>
      <c r="H14">
        <f>COUNTIF(Canonical[Column1.id],Canonical[[#This Row],[Column1.id]])</f>
        <v>1</v>
      </c>
    </row>
    <row r="15" spans="1:8" x14ac:dyDescent="0.25">
      <c r="A15" t="s">
        <v>328</v>
      </c>
      <c r="B15" t="s">
        <v>12</v>
      </c>
      <c r="C15" t="s">
        <v>8</v>
      </c>
      <c r="D15" t="s">
        <v>173</v>
      </c>
      <c r="E15" s="5" t="s">
        <v>37</v>
      </c>
      <c r="F15" t="s">
        <v>7</v>
      </c>
      <c r="G15" t="str">
        <f>_xlfn.CONCAT(Canonical[[#This Row],[Column1.id]:[Column1.discipline]])</f>
        <v>e_100_m_natacion_con_obstaculos_master_30_39_m100 m Natación con ObstáculosMMáster 30-39100Natación con Obstáculos</v>
      </c>
      <c r="H15">
        <f>COUNTIF(Canonical[Column1.id],Canonical[[#This Row],[Column1.id]])</f>
        <v>1</v>
      </c>
    </row>
    <row r="16" spans="1:8" x14ac:dyDescent="0.25">
      <c r="A16" t="s">
        <v>98</v>
      </c>
      <c r="B16" t="s">
        <v>12</v>
      </c>
      <c r="C16" t="s">
        <v>6</v>
      </c>
      <c r="D16" t="s">
        <v>23</v>
      </c>
      <c r="E16" s="5" t="s">
        <v>37</v>
      </c>
      <c r="F16" t="s">
        <v>7</v>
      </c>
      <c r="G16" t="str">
        <f>_xlfn.CONCAT(Canonical[[#This Row],[Column1.id]:[Column1.discipline]])</f>
        <v>e_100_m_natacion_con_obstaculos_master_35_39_f100 m Natación con ObstáculosFMáster 35-39100Natación con Obstáculos</v>
      </c>
      <c r="H16">
        <f>COUNTIF(Canonical[Column1.id],Canonical[[#This Row],[Column1.id]])</f>
        <v>1</v>
      </c>
    </row>
    <row r="17" spans="1:8" x14ac:dyDescent="0.25">
      <c r="A17" t="s">
        <v>102</v>
      </c>
      <c r="B17" t="s">
        <v>12</v>
      </c>
      <c r="C17" t="s">
        <v>8</v>
      </c>
      <c r="D17" t="s">
        <v>23</v>
      </c>
      <c r="E17" s="5" t="s">
        <v>37</v>
      </c>
      <c r="F17" t="s">
        <v>7</v>
      </c>
      <c r="G17" t="str">
        <f>_xlfn.CONCAT(Canonical[[#This Row],[Column1.id]:[Column1.discipline]])</f>
        <v>e_100_m_natacion_con_obstaculos_master_35_39_m100 m Natación con ObstáculosMMáster 35-39100Natación con Obstáculos</v>
      </c>
      <c r="H17">
        <f>COUNTIF(Canonical[Column1.id],Canonical[[#This Row],[Column1.id]])</f>
        <v>1</v>
      </c>
    </row>
    <row r="18" spans="1:8" x14ac:dyDescent="0.25">
      <c r="A18" t="s">
        <v>327</v>
      </c>
      <c r="B18" t="s">
        <v>12</v>
      </c>
      <c r="C18" t="s">
        <v>6</v>
      </c>
      <c r="D18" t="s">
        <v>156</v>
      </c>
      <c r="E18" s="5" t="s">
        <v>37</v>
      </c>
      <c r="F18" t="s">
        <v>7</v>
      </c>
      <c r="G18" t="str">
        <f>_xlfn.CONCAT(Canonical[[#This Row],[Column1.id]:[Column1.discipline]])</f>
        <v>e_100_m_natacion_con_obstaculos_master_40_49_f100 m Natación con ObstáculosFMáster 40-49100Natación con Obstáculos</v>
      </c>
      <c r="H18">
        <f>COUNTIF(Canonical[Column1.id],Canonical[[#This Row],[Column1.id]])</f>
        <v>1</v>
      </c>
    </row>
    <row r="19" spans="1:8" x14ac:dyDescent="0.25">
      <c r="A19" t="s">
        <v>329</v>
      </c>
      <c r="B19" t="s">
        <v>12</v>
      </c>
      <c r="C19" t="s">
        <v>8</v>
      </c>
      <c r="D19" t="s">
        <v>156</v>
      </c>
      <c r="E19" s="5" t="s">
        <v>37</v>
      </c>
      <c r="F19" t="s">
        <v>7</v>
      </c>
      <c r="G19" t="str">
        <f>_xlfn.CONCAT(Canonical[[#This Row],[Column1.id]:[Column1.discipline]])</f>
        <v>e_100_m_natacion_con_obstaculos_master_40_49_m100 m Natación con ObstáculosMMáster 40-49100Natación con Obstáculos</v>
      </c>
      <c r="H19">
        <f>COUNTIF(Canonical[Column1.id],Canonical[[#This Row],[Column1.id]])</f>
        <v>1</v>
      </c>
    </row>
    <row r="20" spans="1:8" x14ac:dyDescent="0.25">
      <c r="A20" t="s">
        <v>97</v>
      </c>
      <c r="B20" t="s">
        <v>12</v>
      </c>
      <c r="C20" t="s">
        <v>6</v>
      </c>
      <c r="D20" t="s">
        <v>26</v>
      </c>
      <c r="E20" s="5" t="s">
        <v>37</v>
      </c>
      <c r="F20" t="s">
        <v>7</v>
      </c>
      <c r="G20" t="str">
        <f>_xlfn.CONCAT(Canonical[[#This Row],[Column1.id]:[Column1.discipline]])</f>
        <v>e_100_m_natacion_con_obstaculos_master_45_49_f100 m Natación con ObstáculosFMáster 45-49100Natación con Obstáculos</v>
      </c>
      <c r="H20">
        <f>COUNTIF(Canonical[Column1.id],Canonical[[#This Row],[Column1.id]])</f>
        <v>1</v>
      </c>
    </row>
    <row r="21" spans="1:8" x14ac:dyDescent="0.25">
      <c r="A21" t="s">
        <v>103</v>
      </c>
      <c r="B21" t="s">
        <v>12</v>
      </c>
      <c r="C21" t="s">
        <v>8</v>
      </c>
      <c r="D21" t="s">
        <v>26</v>
      </c>
      <c r="E21" s="5" t="s">
        <v>37</v>
      </c>
      <c r="F21" t="s">
        <v>7</v>
      </c>
      <c r="G21" t="str">
        <f>_xlfn.CONCAT(Canonical[[#This Row],[Column1.id]:[Column1.discipline]])</f>
        <v>e_100_m_natacion_con_obstaculos_master_45_49_m100 m Natación con ObstáculosMMáster 45-49100Natación con Obstáculos</v>
      </c>
      <c r="H21">
        <f>COUNTIF(Canonical[Column1.id],Canonical[[#This Row],[Column1.id]])</f>
        <v>1</v>
      </c>
    </row>
    <row r="22" spans="1:8" x14ac:dyDescent="0.25">
      <c r="A22" t="s">
        <v>100</v>
      </c>
      <c r="B22" t="s">
        <v>12</v>
      </c>
      <c r="C22" t="s">
        <v>6</v>
      </c>
      <c r="D22" t="s">
        <v>24</v>
      </c>
      <c r="E22" s="5" t="s">
        <v>37</v>
      </c>
      <c r="F22" t="s">
        <v>7</v>
      </c>
      <c r="G22" t="str">
        <f>_xlfn.CONCAT(Canonical[[#This Row],[Column1.id]:[Column1.discipline]])</f>
        <v>e_100_m_natacion_con_obstaculos_master_50_54_f100 m Natación con ObstáculosFMáster 50-54100Natación con Obstáculos</v>
      </c>
      <c r="H22">
        <f>COUNTIF(Canonical[Column1.id],Canonical[[#This Row],[Column1.id]])</f>
        <v>1</v>
      </c>
    </row>
    <row r="23" spans="1:8" x14ac:dyDescent="0.25">
      <c r="A23" t="s">
        <v>104</v>
      </c>
      <c r="B23" t="s">
        <v>12</v>
      </c>
      <c r="C23" t="s">
        <v>8</v>
      </c>
      <c r="D23" t="s">
        <v>24</v>
      </c>
      <c r="E23" s="5" t="s">
        <v>37</v>
      </c>
      <c r="F23" t="s">
        <v>7</v>
      </c>
      <c r="G23" t="str">
        <f>_xlfn.CONCAT(Canonical[[#This Row],[Column1.id]:[Column1.discipline]])</f>
        <v>e_100_m_natacion_con_obstaculos_master_50_54_m100 m Natación con ObstáculosMMáster 50-54100Natación con Obstáculos</v>
      </c>
      <c r="H23">
        <f>COUNTIF(Canonical[Column1.id],Canonical[[#This Row],[Column1.id]])</f>
        <v>1</v>
      </c>
    </row>
    <row r="24" spans="1:8" x14ac:dyDescent="0.25">
      <c r="A24" t="s">
        <v>292</v>
      </c>
      <c r="B24" t="s">
        <v>12</v>
      </c>
      <c r="C24" t="s">
        <v>6</v>
      </c>
      <c r="D24" t="s">
        <v>293</v>
      </c>
      <c r="E24" s="5" t="s">
        <v>37</v>
      </c>
      <c r="F24" t="s">
        <v>7</v>
      </c>
      <c r="G24" t="str">
        <f>_xlfn.CONCAT(Canonical[[#This Row],[Column1.id]:[Column1.discipline]])</f>
        <v>e_100_m_natacion_con_obstaculos_master_50_59_f100 m Natación con ObstáculosFMáster 50-59100Natación con Obstáculos</v>
      </c>
      <c r="H24">
        <f>COUNTIF(Canonical[Column1.id],Canonical[[#This Row],[Column1.id]])</f>
        <v>1</v>
      </c>
    </row>
    <row r="25" spans="1:8" x14ac:dyDescent="0.25">
      <c r="A25" t="s">
        <v>294</v>
      </c>
      <c r="B25" t="s">
        <v>12</v>
      </c>
      <c r="C25" t="s">
        <v>8</v>
      </c>
      <c r="D25" t="s">
        <v>293</v>
      </c>
      <c r="E25" s="5" t="s">
        <v>37</v>
      </c>
      <c r="F25" t="s">
        <v>7</v>
      </c>
      <c r="G25" t="str">
        <f>_xlfn.CONCAT(Canonical[[#This Row],[Column1.id]:[Column1.discipline]])</f>
        <v>e_100_m_natacion_con_obstaculos_master_50_59_m100 m Natación con ObstáculosMMáster 50-59100Natación con Obstáculos</v>
      </c>
      <c r="H25">
        <f>COUNTIF(Canonical[Column1.id],Canonical[[#This Row],[Column1.id]])</f>
        <v>1</v>
      </c>
    </row>
    <row r="26" spans="1:8" x14ac:dyDescent="0.25">
      <c r="A26" t="s">
        <v>49</v>
      </c>
      <c r="B26" t="s">
        <v>12</v>
      </c>
      <c r="C26" t="s">
        <v>6</v>
      </c>
      <c r="D26" t="s">
        <v>17</v>
      </c>
      <c r="E26" s="5" t="s">
        <v>37</v>
      </c>
      <c r="F26" t="s">
        <v>7</v>
      </c>
      <c r="G26" t="str">
        <f>_xlfn.CONCAT(Canonical[[#This Row],[Column1.id]:[Column1.discipline]])</f>
        <v>e_100_m_natacion_con_obstaculos_master_55_59_f100 m Natación con ObstáculosFMáster 55-59100Natación con Obstáculos</v>
      </c>
      <c r="H26">
        <f>COUNTIF(Canonical[Column1.id],Canonical[[#This Row],[Column1.id]])</f>
        <v>1</v>
      </c>
    </row>
    <row r="27" spans="1:8" x14ac:dyDescent="0.25">
      <c r="A27" t="s">
        <v>16</v>
      </c>
      <c r="B27" t="s">
        <v>12</v>
      </c>
      <c r="C27" t="s">
        <v>8</v>
      </c>
      <c r="D27" t="s">
        <v>17</v>
      </c>
      <c r="E27" s="5" t="s">
        <v>37</v>
      </c>
      <c r="F27" t="s">
        <v>7</v>
      </c>
      <c r="G27" t="str">
        <f>_xlfn.CONCAT(Canonical[[#This Row],[Column1.id]:[Column1.discipline]])</f>
        <v>e_100_m_natacion_con_obstaculos_master_55_59_m100 m Natación con ObstáculosMMáster 55-59100Natación con Obstáculos</v>
      </c>
      <c r="H27">
        <f>COUNTIF(Canonical[Column1.id],Canonical[[#This Row],[Column1.id]])</f>
        <v>1</v>
      </c>
    </row>
    <row r="28" spans="1:8" x14ac:dyDescent="0.25">
      <c r="A28" t="s">
        <v>48</v>
      </c>
      <c r="B28" t="s">
        <v>12</v>
      </c>
      <c r="C28" t="s">
        <v>8</v>
      </c>
      <c r="D28" t="s">
        <v>27</v>
      </c>
      <c r="E28" s="5" t="s">
        <v>37</v>
      </c>
      <c r="F28" t="s">
        <v>7</v>
      </c>
      <c r="G28" t="str">
        <f>_xlfn.CONCAT(Canonical[[#This Row],[Column1.id]:[Column1.discipline]])</f>
        <v>e_100_m_natacion_con_obstaculos_master_60_64_m100 m Natación con ObstáculosMMáster 60-64100Natación con Obstáculos</v>
      </c>
      <c r="H28">
        <f>COUNTIF(Canonical[Column1.id],Canonical[[#This Row],[Column1.id]])</f>
        <v>1</v>
      </c>
    </row>
    <row r="29" spans="1:8" x14ac:dyDescent="0.25">
      <c r="A29" t="s">
        <v>323</v>
      </c>
      <c r="B29" t="s">
        <v>12</v>
      </c>
      <c r="C29" t="s">
        <v>6</v>
      </c>
      <c r="D29" t="s">
        <v>149</v>
      </c>
      <c r="E29" s="5" t="s">
        <v>37</v>
      </c>
      <c r="F29" t="s">
        <v>7</v>
      </c>
      <c r="G29" t="str">
        <f>_xlfn.CONCAT(Canonical[[#This Row],[Column1.id]:[Column1.discipline]])</f>
        <v>e_100_m_natacion_con_obstaculos_master_60_69_f100 m Natación con ObstáculosFMáster 60-69100Natación con Obstáculos</v>
      </c>
      <c r="H29">
        <f>COUNTIF(Canonical[Column1.id],Canonical[[#This Row],[Column1.id]])</f>
        <v>1</v>
      </c>
    </row>
    <row r="30" spans="1:8" x14ac:dyDescent="0.25">
      <c r="A30" t="s">
        <v>148</v>
      </c>
      <c r="B30" t="s">
        <v>12</v>
      </c>
      <c r="C30" t="s">
        <v>8</v>
      </c>
      <c r="D30" t="s">
        <v>149</v>
      </c>
      <c r="E30" s="5" t="s">
        <v>37</v>
      </c>
      <c r="F30" t="s">
        <v>7</v>
      </c>
      <c r="G30" t="str">
        <f>_xlfn.CONCAT(Canonical[[#This Row],[Column1.id]:[Column1.discipline]])</f>
        <v>e_100_m_natacion_con_obstaculos_master_60_69_m100 m Natación con ObstáculosMMáster 60-69100Natación con Obstáculos</v>
      </c>
      <c r="H30">
        <f>COUNTIF(Canonical[Column1.id],Canonical[[#This Row],[Column1.id]])</f>
        <v>1</v>
      </c>
    </row>
    <row r="31" spans="1:8" x14ac:dyDescent="0.25">
      <c r="A31" t="s">
        <v>95</v>
      </c>
      <c r="B31" t="s">
        <v>12</v>
      </c>
      <c r="C31" t="s">
        <v>8</v>
      </c>
      <c r="D31" t="s">
        <v>96</v>
      </c>
      <c r="E31" s="5" t="s">
        <v>37</v>
      </c>
      <c r="F31" t="s">
        <v>7</v>
      </c>
      <c r="G31" t="str">
        <f>_xlfn.CONCAT(Canonical[[#This Row],[Column1.id]:[Column1.discipline]])</f>
        <v>e_100_m_natacion_con_obstaculos_master_70_74_m100 m Natación con ObstáculosMMáster 70-74100Natación con Obstáculos</v>
      </c>
      <c r="H31">
        <f>COUNTIF(Canonical[Column1.id],Canonical[[#This Row],[Column1.id]])</f>
        <v>1</v>
      </c>
    </row>
    <row r="32" spans="1:8" x14ac:dyDescent="0.25">
      <c r="A32" t="s">
        <v>157</v>
      </c>
      <c r="B32" t="s">
        <v>15</v>
      </c>
      <c r="C32" t="s">
        <v>6</v>
      </c>
      <c r="D32" t="s">
        <v>144</v>
      </c>
      <c r="E32" s="5" t="s">
        <v>37</v>
      </c>
      <c r="F32" t="s">
        <v>11</v>
      </c>
      <c r="G32" t="str">
        <f>_xlfn.CONCAT(Canonical[[#This Row],[Column1.id]:[Column1.discipline]])</f>
        <v>e_100_m_remolque_de_maniqui_con_aletas_absoluto_f100 m Remolque de Maniquí con AletasFAbsoluta100Remolque de Maniquí con Aletas</v>
      </c>
      <c r="H32">
        <f>COUNTIF(Canonical[Column1.id],Canonical[[#This Row],[Column1.id]])</f>
        <v>1</v>
      </c>
    </row>
    <row r="33" spans="1:8" x14ac:dyDescent="0.25">
      <c r="A33" t="s">
        <v>152</v>
      </c>
      <c r="B33" t="s">
        <v>15</v>
      </c>
      <c r="C33" t="s">
        <v>8</v>
      </c>
      <c r="D33" t="s">
        <v>144</v>
      </c>
      <c r="E33" s="5" t="s">
        <v>37</v>
      </c>
      <c r="F33" t="s">
        <v>11</v>
      </c>
      <c r="G33" t="str">
        <f>_xlfn.CONCAT(Canonical[[#This Row],[Column1.id]:[Column1.discipline]])</f>
        <v>e_100_m_remolque_de_maniqui_con_aletas_absoluto_m100 m Remolque de Maniquí con AletasMAbsoluta100Remolque de Maniquí con Aletas</v>
      </c>
      <c r="H33">
        <f>COUNTIF(Canonical[Column1.id],Canonical[[#This Row],[Column1.id]])</f>
        <v>1</v>
      </c>
    </row>
    <row r="34" spans="1:8" x14ac:dyDescent="0.25">
      <c r="A34" t="s">
        <v>161</v>
      </c>
      <c r="B34" t="s">
        <v>15</v>
      </c>
      <c r="C34" t="s">
        <v>8</v>
      </c>
      <c r="D34" t="s">
        <v>137</v>
      </c>
      <c r="E34" s="5" t="s">
        <v>37</v>
      </c>
      <c r="F34" t="s">
        <v>11</v>
      </c>
      <c r="G34" t="str">
        <f>_xlfn.CONCAT(Canonical[[#This Row],[Column1.id]:[Column1.discipline]])</f>
        <v>e_100_m_remolque_de_maniqui_con_aletas_cadete_m100 m Remolque de Maniquí con AletasMCadete100Remolque de Maniquí con Aletas</v>
      </c>
      <c r="H34">
        <f>COUNTIF(Canonical[Column1.id],Canonical[[#This Row],[Column1.id]])</f>
        <v>1</v>
      </c>
    </row>
    <row r="35" spans="1:8" x14ac:dyDescent="0.25">
      <c r="A35" t="s">
        <v>162</v>
      </c>
      <c r="B35" t="s">
        <v>163</v>
      </c>
      <c r="C35" t="s">
        <v>8</v>
      </c>
      <c r="D35" t="s">
        <v>151</v>
      </c>
      <c r="E35" s="5" t="s">
        <v>37</v>
      </c>
      <c r="F35" t="s">
        <v>164</v>
      </c>
      <c r="G35" t="str">
        <f>_xlfn.CONCAT(Canonical[[#This Row],[Column1.id]:[Column1.discipline]])</f>
        <v>e_100_m_remolque_de_maniqui_con_aletas_de_goma_infantil_m100 m Remolque de Maniquí con Aletas de GomaMInfantil100Remolque de Maniquí con Aletas de Goma</v>
      </c>
      <c r="H35">
        <f>COUNTIF(Canonical[Column1.id],Canonical[[#This Row],[Column1.id]])</f>
        <v>1</v>
      </c>
    </row>
    <row r="36" spans="1:8" x14ac:dyDescent="0.25">
      <c r="A36" t="s">
        <v>158</v>
      </c>
      <c r="B36" t="s">
        <v>15</v>
      </c>
      <c r="C36" t="s">
        <v>6</v>
      </c>
      <c r="D36" t="s">
        <v>142</v>
      </c>
      <c r="E36" s="5" t="s">
        <v>37</v>
      </c>
      <c r="F36" t="s">
        <v>11</v>
      </c>
      <c r="G36" t="str">
        <f>_xlfn.CONCAT(Canonical[[#This Row],[Column1.id]:[Column1.discipline]])</f>
        <v>e_100_m_remolque_de_maniqui_con_aletas_junior_f100 m Remolque de Maniquí con AletasFJúnior100Remolque de Maniquí con Aletas</v>
      </c>
      <c r="H36">
        <f>COUNTIF(Canonical[Column1.id],Canonical[[#This Row],[Column1.id]])</f>
        <v>1</v>
      </c>
    </row>
    <row r="37" spans="1:8" x14ac:dyDescent="0.25">
      <c r="A37" t="s">
        <v>160</v>
      </c>
      <c r="B37" t="s">
        <v>15</v>
      </c>
      <c r="C37" t="s">
        <v>8</v>
      </c>
      <c r="D37" t="s">
        <v>142</v>
      </c>
      <c r="E37" s="5" t="s">
        <v>37</v>
      </c>
      <c r="F37" t="s">
        <v>11</v>
      </c>
      <c r="G37" t="str">
        <f>_xlfn.CONCAT(Canonical[[#This Row],[Column1.id]:[Column1.discipline]])</f>
        <v>e_100_m_remolque_de_maniqui_con_aletas_junior_m100 m Remolque de Maniquí con AletasMJúnior100Remolque de Maniquí con Aletas</v>
      </c>
      <c r="H37">
        <f>COUNTIF(Canonical[Column1.id],Canonical[[#This Row],[Column1.id]])</f>
        <v>1</v>
      </c>
    </row>
    <row r="38" spans="1:8" x14ac:dyDescent="0.25">
      <c r="A38" t="s">
        <v>159</v>
      </c>
      <c r="B38" t="s">
        <v>15</v>
      </c>
      <c r="C38" t="s">
        <v>6</v>
      </c>
      <c r="D38" t="s">
        <v>140</v>
      </c>
      <c r="E38" s="5" t="s">
        <v>37</v>
      </c>
      <c r="F38" t="s">
        <v>11</v>
      </c>
      <c r="G38" t="str">
        <f>_xlfn.CONCAT(Canonical[[#This Row],[Column1.id]:[Column1.discipline]])</f>
        <v>e_100_m_remolque_de_maniqui_con_aletas_juvenil_f100 m Remolque de Maniquí con AletasFJuvenil100Remolque de Maniquí con Aletas</v>
      </c>
      <c r="H38">
        <f>COUNTIF(Canonical[Column1.id],Canonical[[#This Row],[Column1.id]])</f>
        <v>1</v>
      </c>
    </row>
    <row r="39" spans="1:8" x14ac:dyDescent="0.25">
      <c r="A39" t="s">
        <v>153</v>
      </c>
      <c r="B39" t="s">
        <v>15</v>
      </c>
      <c r="C39" t="s">
        <v>8</v>
      </c>
      <c r="D39" t="s">
        <v>140</v>
      </c>
      <c r="E39" s="5" t="s">
        <v>37</v>
      </c>
      <c r="F39" t="s">
        <v>11</v>
      </c>
      <c r="G39" t="str">
        <f>_xlfn.CONCAT(Canonical[[#This Row],[Column1.id]:[Column1.discipline]])</f>
        <v>e_100_m_remolque_de_maniqui_con_aletas_juvenil_m100 m Remolque de Maniquí con AletasMJuvenil100Remolque de Maniquí con Aletas</v>
      </c>
      <c r="H39">
        <f>COUNTIF(Canonical[Column1.id],Canonical[[#This Row],[Column1.id]])</f>
        <v>1</v>
      </c>
    </row>
    <row r="40" spans="1:8" x14ac:dyDescent="0.25">
      <c r="A40" t="s">
        <v>73</v>
      </c>
      <c r="B40" t="s">
        <v>15</v>
      </c>
      <c r="C40" t="s">
        <v>6</v>
      </c>
      <c r="D40" t="s">
        <v>22</v>
      </c>
      <c r="E40" s="5" t="s">
        <v>37</v>
      </c>
      <c r="F40" t="s">
        <v>11</v>
      </c>
      <c r="G40" t="str">
        <f>_xlfn.CONCAT(Canonical[[#This Row],[Column1.id]:[Column1.discipline]])</f>
        <v>e_100_m_remolque_de_maniqui_con_aletas_master_30_34_f100 m Remolque de Maniquí con AletasFMáster 30-34100Remolque de Maniquí con Aletas</v>
      </c>
      <c r="H40">
        <f>COUNTIF(Canonical[Column1.id],Canonical[[#This Row],[Column1.id]])</f>
        <v>1</v>
      </c>
    </row>
    <row r="41" spans="1:8" x14ac:dyDescent="0.25">
      <c r="A41" t="s">
        <v>88</v>
      </c>
      <c r="B41" t="s">
        <v>15</v>
      </c>
      <c r="C41" t="s">
        <v>8</v>
      </c>
      <c r="D41" t="s">
        <v>22</v>
      </c>
      <c r="E41" s="5" t="s">
        <v>37</v>
      </c>
      <c r="F41" t="s">
        <v>11</v>
      </c>
      <c r="G41" t="str">
        <f>_xlfn.CONCAT(Canonical[[#This Row],[Column1.id]:[Column1.discipline]])</f>
        <v>e_100_m_remolque_de_maniqui_con_aletas_master_30_34_m100 m Remolque de Maniquí con AletasMMáster 30-34100Remolque de Maniquí con Aletas</v>
      </c>
      <c r="H41">
        <f>COUNTIF(Canonical[Column1.id],Canonical[[#This Row],[Column1.id]])</f>
        <v>1</v>
      </c>
    </row>
    <row r="42" spans="1:8" x14ac:dyDescent="0.25">
      <c r="A42" t="s">
        <v>295</v>
      </c>
      <c r="B42" t="s">
        <v>15</v>
      </c>
      <c r="C42" t="s">
        <v>6</v>
      </c>
      <c r="D42" t="s">
        <v>173</v>
      </c>
      <c r="E42" s="5" t="s">
        <v>37</v>
      </c>
      <c r="F42" t="s">
        <v>11</v>
      </c>
      <c r="G42" t="str">
        <f>_xlfn.CONCAT(Canonical[[#This Row],[Column1.id]:[Column1.discipline]])</f>
        <v>e_100_m_remolque_de_maniqui_con_aletas_master_30_39_f100 m Remolque de Maniquí con AletasFMáster 30-39100Remolque de Maniquí con Aletas</v>
      </c>
      <c r="H42">
        <f>COUNTIF(Canonical[Column1.id],Canonical[[#This Row],[Column1.id]])</f>
        <v>1</v>
      </c>
    </row>
    <row r="43" spans="1:8" x14ac:dyDescent="0.25">
      <c r="A43" t="s">
        <v>331</v>
      </c>
      <c r="B43" t="s">
        <v>15</v>
      </c>
      <c r="C43" t="s">
        <v>8</v>
      </c>
      <c r="D43" t="s">
        <v>173</v>
      </c>
      <c r="E43" s="5" t="s">
        <v>37</v>
      </c>
      <c r="F43" t="s">
        <v>11</v>
      </c>
      <c r="G43" t="str">
        <f>_xlfn.CONCAT(Canonical[[#This Row],[Column1.id]:[Column1.discipline]])</f>
        <v>e_100_m_remolque_de_maniqui_con_aletas_master_30_39_m100 m Remolque de Maniquí con AletasMMáster 30-39100Remolque de Maniquí con Aletas</v>
      </c>
      <c r="H43">
        <f>COUNTIF(Canonical[Column1.id],Canonical[[#This Row],[Column1.id]])</f>
        <v>1</v>
      </c>
    </row>
    <row r="44" spans="1:8" x14ac:dyDescent="0.25">
      <c r="A44" t="s">
        <v>106</v>
      </c>
      <c r="B44" t="s">
        <v>15</v>
      </c>
      <c r="C44" t="s">
        <v>6</v>
      </c>
      <c r="D44" t="s">
        <v>23</v>
      </c>
      <c r="E44" s="5" t="s">
        <v>37</v>
      </c>
      <c r="F44" t="s">
        <v>11</v>
      </c>
      <c r="G44" t="str">
        <f>_xlfn.CONCAT(Canonical[[#This Row],[Column1.id]:[Column1.discipline]])</f>
        <v>e_100_m_remolque_de_maniqui_con_aletas_master_35_39_f100 m Remolque de Maniquí con AletasFMáster 35-39100Remolque de Maniquí con Aletas</v>
      </c>
      <c r="H44">
        <f>COUNTIF(Canonical[Column1.id],Canonical[[#This Row],[Column1.id]])</f>
        <v>1</v>
      </c>
    </row>
    <row r="45" spans="1:8" x14ac:dyDescent="0.25">
      <c r="A45" t="s">
        <v>107</v>
      </c>
      <c r="B45" t="s">
        <v>15</v>
      </c>
      <c r="C45" t="s">
        <v>8</v>
      </c>
      <c r="D45" t="s">
        <v>23</v>
      </c>
      <c r="E45" s="5" t="s">
        <v>37</v>
      </c>
      <c r="F45" t="s">
        <v>11</v>
      </c>
      <c r="G45" t="str">
        <f>_xlfn.CONCAT(Canonical[[#This Row],[Column1.id]:[Column1.discipline]])</f>
        <v>e_100_m_remolque_de_maniqui_con_aletas_master_35_39_m100 m Remolque de Maniquí con AletasMMáster 35-39100Remolque de Maniquí con Aletas</v>
      </c>
      <c r="H45">
        <f>COUNTIF(Canonical[Column1.id],Canonical[[#This Row],[Column1.id]])</f>
        <v>1</v>
      </c>
    </row>
    <row r="46" spans="1:8" x14ac:dyDescent="0.25">
      <c r="A46" t="s">
        <v>76</v>
      </c>
      <c r="B46" t="s">
        <v>15</v>
      </c>
      <c r="C46" t="s">
        <v>8</v>
      </c>
      <c r="D46" t="s">
        <v>25</v>
      </c>
      <c r="E46" s="5" t="s">
        <v>37</v>
      </c>
      <c r="F46" t="s">
        <v>11</v>
      </c>
      <c r="G46" t="str">
        <f>_xlfn.CONCAT(Canonical[[#This Row],[Column1.id]:[Column1.discipline]])</f>
        <v>e_100_m_remolque_de_maniqui_con_aletas_master_40_44_m100 m Remolque de Maniquí con AletasMMáster 40-44100Remolque de Maniquí con Aletas</v>
      </c>
      <c r="H46">
        <f>COUNTIF(Canonical[Column1.id],Canonical[[#This Row],[Column1.id]])</f>
        <v>1</v>
      </c>
    </row>
    <row r="47" spans="1:8" x14ac:dyDescent="0.25">
      <c r="A47" t="s">
        <v>297</v>
      </c>
      <c r="B47" t="s">
        <v>15</v>
      </c>
      <c r="C47" t="s">
        <v>6</v>
      </c>
      <c r="D47" t="s">
        <v>156</v>
      </c>
      <c r="E47" s="5" t="s">
        <v>37</v>
      </c>
      <c r="F47" t="s">
        <v>11</v>
      </c>
      <c r="G47" t="str">
        <f>_xlfn.CONCAT(Canonical[[#This Row],[Column1.id]:[Column1.discipline]])</f>
        <v>e_100_m_remolque_de_maniqui_con_aletas_master_40_49_f100 m Remolque de Maniquí con AletasFMáster 40-49100Remolque de Maniquí con Aletas</v>
      </c>
      <c r="H47">
        <f>COUNTIF(Canonical[Column1.id],Canonical[[#This Row],[Column1.id]])</f>
        <v>1</v>
      </c>
    </row>
    <row r="48" spans="1:8" x14ac:dyDescent="0.25">
      <c r="A48" t="s">
        <v>155</v>
      </c>
      <c r="B48" t="s">
        <v>15</v>
      </c>
      <c r="C48" t="s">
        <v>8</v>
      </c>
      <c r="D48" t="s">
        <v>156</v>
      </c>
      <c r="E48" s="5" t="s">
        <v>37</v>
      </c>
      <c r="F48" t="s">
        <v>11</v>
      </c>
      <c r="G48" t="str">
        <f>_xlfn.CONCAT(Canonical[[#This Row],[Column1.id]:[Column1.discipline]])</f>
        <v>e_100_m_remolque_de_maniqui_con_aletas_master_40_49_m100 m Remolque de Maniquí con AletasMMáster 40-49100Remolque de Maniquí con Aletas</v>
      </c>
      <c r="H48">
        <f>COUNTIF(Canonical[Column1.id],Canonical[[#This Row],[Column1.id]])</f>
        <v>1</v>
      </c>
    </row>
    <row r="49" spans="1:8" x14ac:dyDescent="0.25">
      <c r="A49" t="s">
        <v>108</v>
      </c>
      <c r="B49" t="s">
        <v>15</v>
      </c>
      <c r="C49" t="s">
        <v>6</v>
      </c>
      <c r="D49" t="s">
        <v>26</v>
      </c>
      <c r="E49" s="5" t="s">
        <v>37</v>
      </c>
      <c r="F49" t="s">
        <v>11</v>
      </c>
      <c r="G49" t="str">
        <f>_xlfn.CONCAT(Canonical[[#This Row],[Column1.id]:[Column1.discipline]])</f>
        <v>e_100_m_remolque_de_maniqui_con_aletas_master_45_49_f100 m Remolque de Maniquí con AletasFMáster 45-49100Remolque de Maniquí con Aletas</v>
      </c>
      <c r="H49">
        <f>COUNTIF(Canonical[Column1.id],Canonical[[#This Row],[Column1.id]])</f>
        <v>1</v>
      </c>
    </row>
    <row r="50" spans="1:8" x14ac:dyDescent="0.25">
      <c r="A50" t="s">
        <v>75</v>
      </c>
      <c r="B50" t="s">
        <v>15</v>
      </c>
      <c r="C50" t="s">
        <v>8</v>
      </c>
      <c r="D50" t="s">
        <v>26</v>
      </c>
      <c r="E50" s="5" t="s">
        <v>37</v>
      </c>
      <c r="F50" t="s">
        <v>11</v>
      </c>
      <c r="G50" t="str">
        <f>_xlfn.CONCAT(Canonical[[#This Row],[Column1.id]:[Column1.discipline]])</f>
        <v>e_100_m_remolque_de_maniqui_con_aletas_master_45_49_m100 m Remolque de Maniquí con AletasMMáster 45-49100Remolque de Maniquí con Aletas</v>
      </c>
      <c r="H50">
        <f>COUNTIF(Canonical[Column1.id],Canonical[[#This Row],[Column1.id]])</f>
        <v>1</v>
      </c>
    </row>
    <row r="51" spans="1:8" x14ac:dyDescent="0.25">
      <c r="A51" t="s">
        <v>72</v>
      </c>
      <c r="B51" t="s">
        <v>15</v>
      </c>
      <c r="C51" t="s">
        <v>6</v>
      </c>
      <c r="D51" t="s">
        <v>24</v>
      </c>
      <c r="E51" s="5" t="s">
        <v>37</v>
      </c>
      <c r="F51" t="s">
        <v>11</v>
      </c>
      <c r="G51" t="str">
        <f>_xlfn.CONCAT(Canonical[[#This Row],[Column1.id]:[Column1.discipline]])</f>
        <v>e_100_m_remolque_de_maniqui_con_aletas_master_50_54_f100 m Remolque de Maniquí con AletasFMáster 50-54100Remolque de Maniquí con Aletas</v>
      </c>
      <c r="H51">
        <f>COUNTIF(Canonical[Column1.id],Canonical[[#This Row],[Column1.id]])</f>
        <v>1</v>
      </c>
    </row>
    <row r="52" spans="1:8" x14ac:dyDescent="0.25">
      <c r="A52" t="s">
        <v>70</v>
      </c>
      <c r="B52" t="s">
        <v>15</v>
      </c>
      <c r="C52" t="s">
        <v>8</v>
      </c>
      <c r="D52" t="s">
        <v>24</v>
      </c>
      <c r="E52" s="5" t="s">
        <v>37</v>
      </c>
      <c r="F52" t="s">
        <v>11</v>
      </c>
      <c r="G52" t="str">
        <f>_xlfn.CONCAT(Canonical[[#This Row],[Column1.id]:[Column1.discipline]])</f>
        <v>e_100_m_remolque_de_maniqui_con_aletas_master_50_54_m100 m Remolque de Maniquí con AletasMMáster 50-54100Remolque de Maniquí con Aletas</v>
      </c>
      <c r="H52">
        <f>COUNTIF(Canonical[Column1.id],Canonical[[#This Row],[Column1.id]])</f>
        <v>1</v>
      </c>
    </row>
    <row r="53" spans="1:8" x14ac:dyDescent="0.25">
      <c r="A53" t="s">
        <v>296</v>
      </c>
      <c r="B53" t="s">
        <v>15</v>
      </c>
      <c r="C53" t="s">
        <v>6</v>
      </c>
      <c r="D53" t="s">
        <v>293</v>
      </c>
      <c r="E53" s="5" t="s">
        <v>37</v>
      </c>
      <c r="F53" t="s">
        <v>11</v>
      </c>
      <c r="G53" t="str">
        <f>_xlfn.CONCAT(Canonical[[#This Row],[Column1.id]:[Column1.discipline]])</f>
        <v>e_100_m_remolque_de_maniqui_con_aletas_master_50_59_f100 m Remolque de Maniquí con AletasFMáster 50-59100Remolque de Maniquí con Aletas</v>
      </c>
      <c r="H53">
        <f>COUNTIF(Canonical[Column1.id],Canonical[[#This Row],[Column1.id]])</f>
        <v>1</v>
      </c>
    </row>
    <row r="54" spans="1:8" x14ac:dyDescent="0.25">
      <c r="A54" t="s">
        <v>332</v>
      </c>
      <c r="B54" t="s">
        <v>15</v>
      </c>
      <c r="C54" t="s">
        <v>8</v>
      </c>
      <c r="D54" t="s">
        <v>293</v>
      </c>
      <c r="E54" s="5" t="s">
        <v>37</v>
      </c>
      <c r="F54" t="s">
        <v>11</v>
      </c>
      <c r="G54" t="str">
        <f>_xlfn.CONCAT(Canonical[[#This Row],[Column1.id]:[Column1.discipline]])</f>
        <v>e_100_m_remolque_de_maniqui_con_aletas_master_50_59_m100 m Remolque de Maniquí con AletasMMáster 50-59100Remolque de Maniquí con Aletas</v>
      </c>
      <c r="H54">
        <f>COUNTIF(Canonical[Column1.id],Canonical[[#This Row],[Column1.id]])</f>
        <v>1</v>
      </c>
    </row>
    <row r="55" spans="1:8" x14ac:dyDescent="0.25">
      <c r="A55" t="s">
        <v>71</v>
      </c>
      <c r="B55" t="s">
        <v>15</v>
      </c>
      <c r="C55" t="s">
        <v>6</v>
      </c>
      <c r="D55" t="s">
        <v>17</v>
      </c>
      <c r="E55" s="5" t="s">
        <v>37</v>
      </c>
      <c r="F55" t="s">
        <v>11</v>
      </c>
      <c r="G55" t="str">
        <f>_xlfn.CONCAT(Canonical[[#This Row],[Column1.id]:[Column1.discipline]])</f>
        <v>e_100_m_remolque_de_maniqui_con_aletas_master_55_59_f100 m Remolque de Maniquí con AletasFMáster 55-59100Remolque de Maniquí con Aletas</v>
      </c>
      <c r="H55">
        <f>COUNTIF(Canonical[Column1.id],Canonical[[#This Row],[Column1.id]])</f>
        <v>1</v>
      </c>
    </row>
    <row r="56" spans="1:8" x14ac:dyDescent="0.25">
      <c r="A56" t="s">
        <v>69</v>
      </c>
      <c r="B56" t="s">
        <v>15</v>
      </c>
      <c r="C56" t="s">
        <v>8</v>
      </c>
      <c r="D56" t="s">
        <v>17</v>
      </c>
      <c r="E56" s="5" t="s">
        <v>37</v>
      </c>
      <c r="F56" t="s">
        <v>11</v>
      </c>
      <c r="G56" t="str">
        <f>_xlfn.CONCAT(Canonical[[#This Row],[Column1.id]:[Column1.discipline]])</f>
        <v>e_100_m_remolque_de_maniqui_con_aletas_master_55_59_m100 m Remolque de Maniquí con AletasMMáster 55-59100Remolque de Maniquí con Aletas</v>
      </c>
      <c r="H56">
        <f>COUNTIF(Canonical[Column1.id],Canonical[[#This Row],[Column1.id]])</f>
        <v>1</v>
      </c>
    </row>
    <row r="57" spans="1:8" x14ac:dyDescent="0.25">
      <c r="A57" t="s">
        <v>74</v>
      </c>
      <c r="B57" t="s">
        <v>15</v>
      </c>
      <c r="C57" t="s">
        <v>8</v>
      </c>
      <c r="D57" t="s">
        <v>27</v>
      </c>
      <c r="E57" s="5" t="s">
        <v>37</v>
      </c>
      <c r="F57" t="s">
        <v>11</v>
      </c>
      <c r="G57" t="str">
        <f>_xlfn.CONCAT(Canonical[[#This Row],[Column1.id]:[Column1.discipline]])</f>
        <v>e_100_m_remolque_de_maniqui_con_aletas_master_60_64_m100 m Remolque de Maniquí con AletasMMáster 60-64100Remolque de Maniquí con Aletas</v>
      </c>
      <c r="H57">
        <f>COUNTIF(Canonical[Column1.id],Canonical[[#This Row],[Column1.id]])</f>
        <v>1</v>
      </c>
    </row>
    <row r="58" spans="1:8" x14ac:dyDescent="0.25">
      <c r="A58" t="s">
        <v>330</v>
      </c>
      <c r="B58" t="s">
        <v>15</v>
      </c>
      <c r="C58" t="s">
        <v>6</v>
      </c>
      <c r="D58" t="s">
        <v>149</v>
      </c>
      <c r="E58" s="5" t="s">
        <v>37</v>
      </c>
      <c r="F58" t="s">
        <v>11</v>
      </c>
      <c r="G58" t="str">
        <f>_xlfn.CONCAT(Canonical[[#This Row],[Column1.id]:[Column1.discipline]])</f>
        <v>e_100_m_remolque_de_maniqui_con_aletas_master_60_69_f100 m Remolque de Maniquí con AletasFMáster 60-69100Remolque de Maniquí con Aletas</v>
      </c>
      <c r="H58">
        <f>COUNTIF(Canonical[Column1.id],Canonical[[#This Row],[Column1.id]])</f>
        <v>1</v>
      </c>
    </row>
    <row r="59" spans="1:8" x14ac:dyDescent="0.25">
      <c r="A59" t="s">
        <v>154</v>
      </c>
      <c r="B59" t="s">
        <v>15</v>
      </c>
      <c r="C59" t="s">
        <v>8</v>
      </c>
      <c r="D59" t="s">
        <v>149</v>
      </c>
      <c r="E59" s="5" t="s">
        <v>37</v>
      </c>
      <c r="F59" t="s">
        <v>11</v>
      </c>
      <c r="G59" t="str">
        <f>_xlfn.CONCAT(Canonical[[#This Row],[Column1.id]:[Column1.discipline]])</f>
        <v>e_100_m_remolque_de_maniqui_con_aletas_master_60_69_m100 m Remolque de Maniquí con AletasMMáster 60-69100Remolque de Maniquí con Aletas</v>
      </c>
      <c r="H59">
        <f>COUNTIF(Canonical[Column1.id],Canonical[[#This Row],[Column1.id]])</f>
        <v>1</v>
      </c>
    </row>
    <row r="60" spans="1:8" x14ac:dyDescent="0.25">
      <c r="A60" t="s">
        <v>105</v>
      </c>
      <c r="B60" t="s">
        <v>15</v>
      </c>
      <c r="C60" t="s">
        <v>8</v>
      </c>
      <c r="D60" t="s">
        <v>96</v>
      </c>
      <c r="E60" s="5" t="s">
        <v>37</v>
      </c>
      <c r="F60" t="s">
        <v>11</v>
      </c>
      <c r="G60" t="str">
        <f>_xlfn.CONCAT(Canonical[[#This Row],[Column1.id]:[Column1.discipline]])</f>
        <v>e_100_m_remolque_de_maniqui_con_aletas_master_70_74_m100 m Remolque de Maniquí con AletasMMáster 70-74100Remolque de Maniquí con Aletas</v>
      </c>
      <c r="H60">
        <f>COUNTIF(Canonical[Column1.id],Canonical[[#This Row],[Column1.id]])</f>
        <v>1</v>
      </c>
    </row>
    <row r="61" spans="1:8" x14ac:dyDescent="0.25">
      <c r="A61" t="s">
        <v>174</v>
      </c>
      <c r="B61" t="s">
        <v>13</v>
      </c>
      <c r="C61" t="s">
        <v>6</v>
      </c>
      <c r="D61" t="s">
        <v>144</v>
      </c>
      <c r="E61" s="5" t="s">
        <v>37</v>
      </c>
      <c r="F61" t="s">
        <v>9</v>
      </c>
      <c r="G61" t="str">
        <f>_xlfn.CONCAT(Canonical[[#This Row],[Column1.id]:[Column1.discipline]])</f>
        <v>e_100_m_socorrista_absoluto_f100 m SocorristaFAbsoluta100Socorrista</v>
      </c>
      <c r="H61">
        <f>COUNTIF(Canonical[Column1.id],Canonical[[#This Row],[Column1.id]])</f>
        <v>1</v>
      </c>
    </row>
    <row r="62" spans="1:8" x14ac:dyDescent="0.25">
      <c r="A62" t="s">
        <v>167</v>
      </c>
      <c r="B62" t="s">
        <v>13</v>
      </c>
      <c r="C62" t="s">
        <v>8</v>
      </c>
      <c r="D62" t="s">
        <v>144</v>
      </c>
      <c r="E62" s="5" t="s">
        <v>37</v>
      </c>
      <c r="F62" t="s">
        <v>9</v>
      </c>
      <c r="G62" t="str">
        <f>_xlfn.CONCAT(Canonical[[#This Row],[Column1.id]:[Column1.discipline]])</f>
        <v>e_100_m_socorrista_absoluto_m100 m SocorristaMAbsoluta100Socorrista</v>
      </c>
      <c r="H62">
        <f>COUNTIF(Canonical[Column1.id],Canonical[[#This Row],[Column1.id]])</f>
        <v>1</v>
      </c>
    </row>
    <row r="63" spans="1:8" x14ac:dyDescent="0.25">
      <c r="A63" t="s">
        <v>175</v>
      </c>
      <c r="B63" t="s">
        <v>13</v>
      </c>
      <c r="C63" t="s">
        <v>8</v>
      </c>
      <c r="D63" t="s">
        <v>151</v>
      </c>
      <c r="E63" s="5" t="s">
        <v>37</v>
      </c>
      <c r="F63" t="s">
        <v>9</v>
      </c>
      <c r="G63" t="str">
        <f>_xlfn.CONCAT(Canonical[[#This Row],[Column1.id]:[Column1.discipline]])</f>
        <v>e_100_m_socorrista_infantil_m100 m SocorristaMInfantil100Socorrista</v>
      </c>
      <c r="H63">
        <f>COUNTIF(Canonical[Column1.id],Canonical[[#This Row],[Column1.id]])</f>
        <v>1</v>
      </c>
    </row>
    <row r="64" spans="1:8" x14ac:dyDescent="0.25">
      <c r="A64" t="s">
        <v>170</v>
      </c>
      <c r="B64" t="s">
        <v>13</v>
      </c>
      <c r="C64" t="s">
        <v>6</v>
      </c>
      <c r="D64" t="s">
        <v>142</v>
      </c>
      <c r="E64" s="5" t="s">
        <v>37</v>
      </c>
      <c r="F64" t="s">
        <v>9</v>
      </c>
      <c r="G64" t="str">
        <f>_xlfn.CONCAT(Canonical[[#This Row],[Column1.id]:[Column1.discipline]])</f>
        <v>e_100_m_socorrista_junior_f100 m SocorristaFJúnior100Socorrista</v>
      </c>
      <c r="H64">
        <f>COUNTIF(Canonical[Column1.id],Canonical[[#This Row],[Column1.id]])</f>
        <v>1</v>
      </c>
    </row>
    <row r="65" spans="1:8" x14ac:dyDescent="0.25">
      <c r="A65" t="s">
        <v>166</v>
      </c>
      <c r="B65" t="s">
        <v>13</v>
      </c>
      <c r="C65" t="s">
        <v>8</v>
      </c>
      <c r="D65" t="s">
        <v>142</v>
      </c>
      <c r="E65" s="5" t="s">
        <v>37</v>
      </c>
      <c r="F65" t="s">
        <v>9</v>
      </c>
      <c r="G65" t="str">
        <f>_xlfn.CONCAT(Canonical[[#This Row],[Column1.id]:[Column1.discipline]])</f>
        <v>e_100_m_socorrista_junior_m100 m SocorristaMJúnior100Socorrista</v>
      </c>
      <c r="H65">
        <f>COUNTIF(Canonical[Column1.id],Canonical[[#This Row],[Column1.id]])</f>
        <v>1</v>
      </c>
    </row>
    <row r="66" spans="1:8" x14ac:dyDescent="0.25">
      <c r="A66" t="s">
        <v>171</v>
      </c>
      <c r="B66" t="s">
        <v>13</v>
      </c>
      <c r="C66" t="s">
        <v>6</v>
      </c>
      <c r="D66" t="s">
        <v>140</v>
      </c>
      <c r="E66" s="5" t="s">
        <v>37</v>
      </c>
      <c r="F66" t="s">
        <v>9</v>
      </c>
      <c r="G66" t="str">
        <f>_xlfn.CONCAT(Canonical[[#This Row],[Column1.id]:[Column1.discipline]])</f>
        <v>e_100_m_socorrista_juvenil_f100 m SocorristaFJuvenil100Socorrista</v>
      </c>
      <c r="H66">
        <f>COUNTIF(Canonical[Column1.id],Canonical[[#This Row],[Column1.id]])</f>
        <v>1</v>
      </c>
    </row>
    <row r="67" spans="1:8" x14ac:dyDescent="0.25">
      <c r="A67" t="s">
        <v>168</v>
      </c>
      <c r="B67" t="s">
        <v>13</v>
      </c>
      <c r="C67" t="s">
        <v>8</v>
      </c>
      <c r="D67" t="s">
        <v>140</v>
      </c>
      <c r="E67" s="5" t="s">
        <v>37</v>
      </c>
      <c r="F67" t="s">
        <v>9</v>
      </c>
      <c r="G67" t="str">
        <f>_xlfn.CONCAT(Canonical[[#This Row],[Column1.id]:[Column1.discipline]])</f>
        <v>e_100_m_socorrista_juvenil_m100 m SocorristaMJuvenil100Socorrista</v>
      </c>
      <c r="H67">
        <f>COUNTIF(Canonical[Column1.id],Canonical[[#This Row],[Column1.id]])</f>
        <v>1</v>
      </c>
    </row>
    <row r="68" spans="1:8" x14ac:dyDescent="0.25">
      <c r="A68" t="s">
        <v>52</v>
      </c>
      <c r="B68" t="s">
        <v>13</v>
      </c>
      <c r="C68" t="s">
        <v>6</v>
      </c>
      <c r="D68" t="s">
        <v>22</v>
      </c>
      <c r="E68" s="5" t="s">
        <v>37</v>
      </c>
      <c r="F68" t="s">
        <v>9</v>
      </c>
      <c r="G68" t="str">
        <f>_xlfn.CONCAT(Canonical[[#This Row],[Column1.id]:[Column1.discipline]])</f>
        <v>e_100_m_socorrista_master_30_34_f100 m SocorristaFMáster 30-34100Socorrista</v>
      </c>
      <c r="H68">
        <f>COUNTIF(Canonical[Column1.id],Canonical[[#This Row],[Column1.id]])</f>
        <v>1</v>
      </c>
    </row>
    <row r="69" spans="1:8" x14ac:dyDescent="0.25">
      <c r="A69" t="s">
        <v>89</v>
      </c>
      <c r="B69" t="s">
        <v>13</v>
      </c>
      <c r="C69" t="s">
        <v>8</v>
      </c>
      <c r="D69" t="s">
        <v>22</v>
      </c>
      <c r="E69" s="5" t="s">
        <v>37</v>
      </c>
      <c r="F69" t="s">
        <v>9</v>
      </c>
      <c r="G69" t="str">
        <f>_xlfn.CONCAT(Canonical[[#This Row],[Column1.id]:[Column1.discipline]])</f>
        <v>e_100_m_socorrista_master_30_34_m100 m SocorristaMMáster 30-34100Socorrista</v>
      </c>
      <c r="H69">
        <f>COUNTIF(Canonical[Column1.id],Canonical[[#This Row],[Column1.id]])</f>
        <v>1</v>
      </c>
    </row>
    <row r="70" spans="1:8" x14ac:dyDescent="0.25">
      <c r="A70" t="s">
        <v>299</v>
      </c>
      <c r="B70" t="s">
        <v>13</v>
      </c>
      <c r="C70" t="s">
        <v>6</v>
      </c>
      <c r="D70" t="s">
        <v>173</v>
      </c>
      <c r="E70" s="5" t="s">
        <v>37</v>
      </c>
      <c r="F70" t="s">
        <v>9</v>
      </c>
      <c r="G70" t="str">
        <f>_xlfn.CONCAT(Canonical[[#This Row],[Column1.id]:[Column1.discipline]])</f>
        <v>e_100_m_socorrista_master_30_39_f100 m SocorristaFMáster 30-39100Socorrista</v>
      </c>
      <c r="H70">
        <f>COUNTIF(Canonical[Column1.id],Canonical[[#This Row],[Column1.id]])</f>
        <v>1</v>
      </c>
    </row>
    <row r="71" spans="1:8" x14ac:dyDescent="0.25">
      <c r="A71" t="s">
        <v>172</v>
      </c>
      <c r="B71" t="s">
        <v>13</v>
      </c>
      <c r="C71" t="s">
        <v>8</v>
      </c>
      <c r="D71" t="s">
        <v>173</v>
      </c>
      <c r="E71" s="5" t="s">
        <v>37</v>
      </c>
      <c r="F71" t="s">
        <v>9</v>
      </c>
      <c r="G71" t="str">
        <f>_xlfn.CONCAT(Canonical[[#This Row],[Column1.id]:[Column1.discipline]])</f>
        <v>e_100_m_socorrista_master_30_39_m100 m SocorristaMMáster 30-39100Socorrista</v>
      </c>
      <c r="H71">
        <f>COUNTIF(Canonical[Column1.id],Canonical[[#This Row],[Column1.id]])</f>
        <v>1</v>
      </c>
    </row>
    <row r="72" spans="1:8" x14ac:dyDescent="0.25">
      <c r="A72" t="s">
        <v>111</v>
      </c>
      <c r="B72" t="s">
        <v>13</v>
      </c>
      <c r="C72" t="s">
        <v>6</v>
      </c>
      <c r="D72" t="s">
        <v>23</v>
      </c>
      <c r="E72" s="5" t="s">
        <v>37</v>
      </c>
      <c r="F72" t="s">
        <v>9</v>
      </c>
      <c r="G72" t="str">
        <f>_xlfn.CONCAT(Canonical[[#This Row],[Column1.id]:[Column1.discipline]])</f>
        <v>e_100_m_socorrista_master_35_39_f100 m SocorristaFMáster 35-39100Socorrista</v>
      </c>
      <c r="H72">
        <f>COUNTIF(Canonical[Column1.id],Canonical[[#This Row],[Column1.id]])</f>
        <v>1</v>
      </c>
    </row>
    <row r="73" spans="1:8" x14ac:dyDescent="0.25">
      <c r="A73" t="s">
        <v>110</v>
      </c>
      <c r="B73" t="s">
        <v>13</v>
      </c>
      <c r="C73" t="s">
        <v>8</v>
      </c>
      <c r="D73" t="s">
        <v>23</v>
      </c>
      <c r="E73" s="5" t="s">
        <v>37</v>
      </c>
      <c r="F73" t="s">
        <v>9</v>
      </c>
      <c r="G73" t="str">
        <f>_xlfn.CONCAT(Canonical[[#This Row],[Column1.id]:[Column1.discipline]])</f>
        <v>e_100_m_socorrista_master_35_39_m100 m SocorristaMMáster 35-39100Socorrista</v>
      </c>
      <c r="H73">
        <f>COUNTIF(Canonical[Column1.id],Canonical[[#This Row],[Column1.id]])</f>
        <v>1</v>
      </c>
    </row>
    <row r="74" spans="1:8" x14ac:dyDescent="0.25">
      <c r="A74" t="s">
        <v>55</v>
      </c>
      <c r="B74" t="s">
        <v>13</v>
      </c>
      <c r="C74" t="s">
        <v>8</v>
      </c>
      <c r="D74" t="s">
        <v>25</v>
      </c>
      <c r="E74" s="5" t="s">
        <v>37</v>
      </c>
      <c r="F74" t="s">
        <v>9</v>
      </c>
      <c r="G74" t="str">
        <f>_xlfn.CONCAT(Canonical[[#This Row],[Column1.id]:[Column1.discipline]])</f>
        <v>e_100_m_socorrista_master_40_44_m100 m SocorristaMMáster 40-44100Socorrista</v>
      </c>
      <c r="H74">
        <f>COUNTIF(Canonical[Column1.id],Canonical[[#This Row],[Column1.id]])</f>
        <v>1</v>
      </c>
    </row>
    <row r="75" spans="1:8" x14ac:dyDescent="0.25">
      <c r="A75" t="s">
        <v>300</v>
      </c>
      <c r="B75" t="s">
        <v>13</v>
      </c>
      <c r="C75" t="s">
        <v>6</v>
      </c>
      <c r="D75" t="s">
        <v>156</v>
      </c>
      <c r="E75" s="5" t="s">
        <v>37</v>
      </c>
      <c r="F75" t="s">
        <v>9</v>
      </c>
      <c r="G75" t="str">
        <f>_xlfn.CONCAT(Canonical[[#This Row],[Column1.id]:[Column1.discipline]])</f>
        <v>e_100_m_socorrista_master_40_49_f100 m SocorristaFMáster 40-49100Socorrista</v>
      </c>
      <c r="H75">
        <f>COUNTIF(Canonical[Column1.id],Canonical[[#This Row],[Column1.id]])</f>
        <v>1</v>
      </c>
    </row>
    <row r="76" spans="1:8" x14ac:dyDescent="0.25">
      <c r="A76" t="s">
        <v>169</v>
      </c>
      <c r="B76" t="s">
        <v>13</v>
      </c>
      <c r="C76" t="s">
        <v>8</v>
      </c>
      <c r="D76" t="s">
        <v>156</v>
      </c>
      <c r="E76" s="5" t="s">
        <v>37</v>
      </c>
      <c r="F76" t="s">
        <v>9</v>
      </c>
      <c r="G76" t="str">
        <f>_xlfn.CONCAT(Canonical[[#This Row],[Column1.id]:[Column1.discipline]])</f>
        <v>e_100_m_socorrista_master_40_49_m100 m SocorristaMMáster 40-49100Socorrista</v>
      </c>
      <c r="H76">
        <f>COUNTIF(Canonical[Column1.id],Canonical[[#This Row],[Column1.id]])</f>
        <v>1</v>
      </c>
    </row>
    <row r="77" spans="1:8" x14ac:dyDescent="0.25">
      <c r="A77" t="s">
        <v>90</v>
      </c>
      <c r="B77" t="s">
        <v>13</v>
      </c>
      <c r="C77" t="s">
        <v>6</v>
      </c>
      <c r="D77" t="s">
        <v>26</v>
      </c>
      <c r="E77" s="5" t="s">
        <v>37</v>
      </c>
      <c r="F77" t="s">
        <v>9</v>
      </c>
      <c r="G77" t="str">
        <f>_xlfn.CONCAT(Canonical[[#This Row],[Column1.id]:[Column1.discipline]])</f>
        <v>e_100_m_socorrista_master_45_49_f100 m SocorristaFMáster 45-49100Socorrista</v>
      </c>
      <c r="H77">
        <f>COUNTIF(Canonical[Column1.id],Canonical[[#This Row],[Column1.id]])</f>
        <v>1</v>
      </c>
    </row>
    <row r="78" spans="1:8" x14ac:dyDescent="0.25">
      <c r="A78" t="s">
        <v>54</v>
      </c>
      <c r="B78" t="s">
        <v>13</v>
      </c>
      <c r="C78" t="s">
        <v>8</v>
      </c>
      <c r="D78" t="s">
        <v>26</v>
      </c>
      <c r="E78" s="5" t="s">
        <v>37</v>
      </c>
      <c r="F78" t="s">
        <v>9</v>
      </c>
      <c r="G78" t="str">
        <f>_xlfn.CONCAT(Canonical[[#This Row],[Column1.id]:[Column1.discipline]])</f>
        <v>e_100_m_socorrista_master_45_49_m100 m SocorristaMMáster 45-49100Socorrista</v>
      </c>
      <c r="H78">
        <f>COUNTIF(Canonical[Column1.id],Canonical[[#This Row],[Column1.id]])</f>
        <v>1</v>
      </c>
    </row>
    <row r="79" spans="1:8" x14ac:dyDescent="0.25">
      <c r="A79" t="s">
        <v>50</v>
      </c>
      <c r="B79" t="s">
        <v>13</v>
      </c>
      <c r="C79" t="s">
        <v>6</v>
      </c>
      <c r="D79" t="s">
        <v>24</v>
      </c>
      <c r="E79" s="5" t="s">
        <v>37</v>
      </c>
      <c r="F79" t="s">
        <v>9</v>
      </c>
      <c r="G79" t="str">
        <f>_xlfn.CONCAT(Canonical[[#This Row],[Column1.id]:[Column1.discipline]])</f>
        <v>e_100_m_socorrista_master_50_54_f100 m SocorristaFMáster 50-54100Socorrista</v>
      </c>
      <c r="H79">
        <f>COUNTIF(Canonical[Column1.id],Canonical[[#This Row],[Column1.id]])</f>
        <v>1</v>
      </c>
    </row>
    <row r="80" spans="1:8" x14ac:dyDescent="0.25">
      <c r="A80" t="s">
        <v>56</v>
      </c>
      <c r="B80" t="s">
        <v>13</v>
      </c>
      <c r="C80" t="s">
        <v>8</v>
      </c>
      <c r="D80" t="s">
        <v>24</v>
      </c>
      <c r="E80" s="5" t="s">
        <v>37</v>
      </c>
      <c r="F80" t="s">
        <v>9</v>
      </c>
      <c r="G80" t="str">
        <f>_xlfn.CONCAT(Canonical[[#This Row],[Column1.id]:[Column1.discipline]])</f>
        <v>e_100_m_socorrista_master_50_54_m100 m SocorristaMMáster 50-54100Socorrista</v>
      </c>
      <c r="H80">
        <f>COUNTIF(Canonical[Column1.id],Canonical[[#This Row],[Column1.id]])</f>
        <v>1</v>
      </c>
    </row>
    <row r="81" spans="1:8" x14ac:dyDescent="0.25">
      <c r="A81" t="s">
        <v>301</v>
      </c>
      <c r="B81" t="s">
        <v>13</v>
      </c>
      <c r="C81" t="s">
        <v>6</v>
      </c>
      <c r="D81" t="s">
        <v>293</v>
      </c>
      <c r="E81" s="5" t="s">
        <v>37</v>
      </c>
      <c r="F81" t="s">
        <v>9</v>
      </c>
      <c r="G81" t="str">
        <f>_xlfn.CONCAT(Canonical[[#This Row],[Column1.id]:[Column1.discipline]])</f>
        <v>e_100_m_socorrista_master_50_59_f100 m SocorristaFMáster 50-59100Socorrista</v>
      </c>
      <c r="H81">
        <f>COUNTIF(Canonical[Column1.id],Canonical[[#This Row],[Column1.id]])</f>
        <v>1</v>
      </c>
    </row>
    <row r="82" spans="1:8" x14ac:dyDescent="0.25">
      <c r="A82" t="s">
        <v>298</v>
      </c>
      <c r="B82" t="s">
        <v>13</v>
      </c>
      <c r="C82" t="s">
        <v>8</v>
      </c>
      <c r="D82" t="s">
        <v>293</v>
      </c>
      <c r="E82" s="5" t="s">
        <v>37</v>
      </c>
      <c r="F82" t="s">
        <v>9</v>
      </c>
      <c r="G82" t="str">
        <f>_xlfn.CONCAT(Canonical[[#This Row],[Column1.id]:[Column1.discipline]])</f>
        <v>e_100_m_socorrista_master_50_59_m100 m SocorristaMMáster 50-59100Socorrista</v>
      </c>
      <c r="H82">
        <f>COUNTIF(Canonical[Column1.id],Canonical[[#This Row],[Column1.id]])</f>
        <v>1</v>
      </c>
    </row>
    <row r="83" spans="1:8" x14ac:dyDescent="0.25">
      <c r="A83" t="s">
        <v>51</v>
      </c>
      <c r="B83" t="s">
        <v>13</v>
      </c>
      <c r="C83" t="s">
        <v>6</v>
      </c>
      <c r="D83" t="s">
        <v>17</v>
      </c>
      <c r="E83" s="5" t="s">
        <v>37</v>
      </c>
      <c r="F83" t="s">
        <v>9</v>
      </c>
      <c r="G83" t="str">
        <f>_xlfn.CONCAT(Canonical[[#This Row],[Column1.id]:[Column1.discipline]])</f>
        <v>e_100_m_socorrista_master_55_59_f100 m SocorristaFMáster 55-59100Socorrista</v>
      </c>
      <c r="H83">
        <f>COUNTIF(Canonical[Column1.id],Canonical[[#This Row],[Column1.id]])</f>
        <v>1</v>
      </c>
    </row>
    <row r="84" spans="1:8" x14ac:dyDescent="0.25">
      <c r="A84" t="s">
        <v>57</v>
      </c>
      <c r="B84" t="s">
        <v>13</v>
      </c>
      <c r="C84" t="s">
        <v>8</v>
      </c>
      <c r="D84" t="s">
        <v>17</v>
      </c>
      <c r="E84" s="5" t="s">
        <v>37</v>
      </c>
      <c r="F84" t="s">
        <v>9</v>
      </c>
      <c r="G84" t="str">
        <f>_xlfn.CONCAT(Canonical[[#This Row],[Column1.id]:[Column1.discipline]])</f>
        <v>e_100_m_socorrista_master_55_59_m100 m SocorristaMMáster 55-59100Socorrista</v>
      </c>
      <c r="H84">
        <f>COUNTIF(Canonical[Column1.id],Canonical[[#This Row],[Column1.id]])</f>
        <v>1</v>
      </c>
    </row>
    <row r="85" spans="1:8" x14ac:dyDescent="0.25">
      <c r="A85" t="s">
        <v>53</v>
      </c>
      <c r="B85" t="s">
        <v>13</v>
      </c>
      <c r="C85" t="s">
        <v>8</v>
      </c>
      <c r="D85" t="s">
        <v>27</v>
      </c>
      <c r="E85" s="5" t="s">
        <v>37</v>
      </c>
      <c r="F85" t="s">
        <v>9</v>
      </c>
      <c r="G85" t="str">
        <f>_xlfn.CONCAT(Canonical[[#This Row],[Column1.id]:[Column1.discipline]])</f>
        <v>e_100_m_socorrista_master_60_64_m100 m SocorristaMMáster 60-64100Socorrista</v>
      </c>
      <c r="H85">
        <f>COUNTIF(Canonical[Column1.id],Canonical[[#This Row],[Column1.id]])</f>
        <v>1</v>
      </c>
    </row>
    <row r="86" spans="1:8" x14ac:dyDescent="0.25">
      <c r="A86" t="s">
        <v>333</v>
      </c>
      <c r="B86" t="s">
        <v>13</v>
      </c>
      <c r="C86" t="s">
        <v>6</v>
      </c>
      <c r="D86" t="s">
        <v>149</v>
      </c>
      <c r="E86" s="5" t="s">
        <v>37</v>
      </c>
      <c r="F86" t="s">
        <v>9</v>
      </c>
      <c r="G86" t="str">
        <f>_xlfn.CONCAT(Canonical[[#This Row],[Column1.id]:[Column1.discipline]])</f>
        <v>e_100_m_socorrista_master_60_69_f100 m SocorristaFMáster 60-69100Socorrista</v>
      </c>
      <c r="H86">
        <f>COUNTIF(Canonical[Column1.id],Canonical[[#This Row],[Column1.id]])</f>
        <v>1</v>
      </c>
    </row>
    <row r="87" spans="1:8" x14ac:dyDescent="0.25">
      <c r="A87" t="s">
        <v>165</v>
      </c>
      <c r="B87" t="s">
        <v>13</v>
      </c>
      <c r="C87" t="s">
        <v>8</v>
      </c>
      <c r="D87" t="s">
        <v>149</v>
      </c>
      <c r="E87" s="5" t="s">
        <v>37</v>
      </c>
      <c r="F87" t="s">
        <v>9</v>
      </c>
      <c r="G87" t="str">
        <f>_xlfn.CONCAT(Canonical[[#This Row],[Column1.id]:[Column1.discipline]])</f>
        <v>e_100_m_socorrista_master_60_69_m100 m SocorristaMMáster 60-69100Socorrista</v>
      </c>
      <c r="H87">
        <f>COUNTIF(Canonical[Column1.id],Canonical[[#This Row],[Column1.id]])</f>
        <v>1</v>
      </c>
    </row>
    <row r="88" spans="1:8" x14ac:dyDescent="0.25">
      <c r="A88" t="s">
        <v>109</v>
      </c>
      <c r="B88" t="s">
        <v>13</v>
      </c>
      <c r="C88" t="s">
        <v>8</v>
      </c>
      <c r="D88" t="s">
        <v>96</v>
      </c>
      <c r="E88" s="5" t="s">
        <v>37</v>
      </c>
      <c r="F88" t="s">
        <v>9</v>
      </c>
      <c r="G88" t="str">
        <f>_xlfn.CONCAT(Canonical[[#This Row],[Column1.id]:[Column1.discipline]])</f>
        <v>e_100_m_socorrista_master_70_74_m100 m SocorristaMMáster 70-74100Socorrista</v>
      </c>
      <c r="H88">
        <f>COUNTIF(Canonical[Column1.id],Canonical[[#This Row],[Column1.id]])</f>
        <v>1</v>
      </c>
    </row>
    <row r="89" spans="1:8" x14ac:dyDescent="0.25">
      <c r="A89" t="s">
        <v>181</v>
      </c>
      <c r="B89" t="s">
        <v>177</v>
      </c>
      <c r="C89" t="s">
        <v>6</v>
      </c>
      <c r="D89" t="s">
        <v>144</v>
      </c>
      <c r="E89" s="5" t="s">
        <v>37</v>
      </c>
      <c r="F89" t="s">
        <v>178</v>
      </c>
      <c r="G89" t="str">
        <f>_xlfn.CONCAT(Canonical[[#This Row],[Column1.id]:[Column1.discipline]])</f>
        <v>e_100_m_supersocorrista_absoluto_f100 m SupersocorristaFAbsoluta100Supersocorrista</v>
      </c>
      <c r="H89">
        <f>COUNTIF(Canonical[Column1.id],Canonical[[#This Row],[Column1.id]])</f>
        <v>1</v>
      </c>
    </row>
    <row r="90" spans="1:8" x14ac:dyDescent="0.25">
      <c r="A90" t="s">
        <v>179</v>
      </c>
      <c r="B90" t="s">
        <v>177</v>
      </c>
      <c r="C90" t="s">
        <v>8</v>
      </c>
      <c r="D90" t="s">
        <v>144</v>
      </c>
      <c r="E90" s="5" t="s">
        <v>37</v>
      </c>
      <c r="F90" t="s">
        <v>178</v>
      </c>
      <c r="G90" t="str">
        <f>_xlfn.CONCAT(Canonical[[#This Row],[Column1.id]:[Column1.discipline]])</f>
        <v>e_100_m_supersocorrista_absoluto_m100 m SupersocorristaMAbsoluta100Supersocorrista</v>
      </c>
      <c r="H90">
        <f>COUNTIF(Canonical[Column1.id],Canonical[[#This Row],[Column1.id]])</f>
        <v>1</v>
      </c>
    </row>
    <row r="91" spans="1:8" x14ac:dyDescent="0.25">
      <c r="A91" t="s">
        <v>334</v>
      </c>
      <c r="B91" t="s">
        <v>177</v>
      </c>
      <c r="C91" t="s">
        <v>6</v>
      </c>
      <c r="D91" t="s">
        <v>142</v>
      </c>
      <c r="E91" s="5" t="s">
        <v>37</v>
      </c>
      <c r="F91" t="s">
        <v>178</v>
      </c>
      <c r="G91" t="str">
        <f>_xlfn.CONCAT(Canonical[[#This Row],[Column1.id]:[Column1.discipline]])</f>
        <v>e_100_m_supersocorrista_junior_f100 m SupersocorristaFJúnior100Supersocorrista</v>
      </c>
      <c r="H91">
        <f>COUNTIF(Canonical[Column1.id],Canonical[[#This Row],[Column1.id]])</f>
        <v>1</v>
      </c>
    </row>
    <row r="92" spans="1:8" x14ac:dyDescent="0.25">
      <c r="A92" t="s">
        <v>180</v>
      </c>
      <c r="B92" t="s">
        <v>177</v>
      </c>
      <c r="C92" t="s">
        <v>8</v>
      </c>
      <c r="D92" t="s">
        <v>142</v>
      </c>
      <c r="E92" s="5" t="s">
        <v>37</v>
      </c>
      <c r="F92" t="s">
        <v>178</v>
      </c>
      <c r="G92" t="str">
        <f>_xlfn.CONCAT(Canonical[[#This Row],[Column1.id]:[Column1.discipline]])</f>
        <v>e_100_m_supersocorrista_junior_m100 m SupersocorristaMJúnior100Supersocorrista</v>
      </c>
      <c r="H92">
        <f>COUNTIF(Canonical[Column1.id],Canonical[[#This Row],[Column1.id]])</f>
        <v>1</v>
      </c>
    </row>
    <row r="93" spans="1:8" x14ac:dyDescent="0.25">
      <c r="A93" t="s">
        <v>176</v>
      </c>
      <c r="B93" t="s">
        <v>177</v>
      </c>
      <c r="C93" t="s">
        <v>6</v>
      </c>
      <c r="D93" t="s">
        <v>140</v>
      </c>
      <c r="E93" s="5" t="s">
        <v>37</v>
      </c>
      <c r="F93" t="s">
        <v>178</v>
      </c>
      <c r="G93" t="str">
        <f>_xlfn.CONCAT(Canonical[[#This Row],[Column1.id]:[Column1.discipline]])</f>
        <v>e_100_m_supersocorrista_juvenil_f100 m SupersocorristaFJuvenil100Supersocorrista</v>
      </c>
      <c r="H93">
        <f>COUNTIF(Canonical[Column1.id],Canonical[[#This Row],[Column1.id]])</f>
        <v>1</v>
      </c>
    </row>
    <row r="94" spans="1:8" x14ac:dyDescent="0.25">
      <c r="A94" t="s">
        <v>335</v>
      </c>
      <c r="B94" t="s">
        <v>177</v>
      </c>
      <c r="C94" t="s">
        <v>8</v>
      </c>
      <c r="D94" t="s">
        <v>140</v>
      </c>
      <c r="E94" s="5" t="s">
        <v>37</v>
      </c>
      <c r="F94" t="s">
        <v>178</v>
      </c>
      <c r="G94" t="str">
        <f>_xlfn.CONCAT(Canonical[[#This Row],[Column1.id]:[Column1.discipline]])</f>
        <v>e_100_m_supersocorrista_juvenil_m100 m SupersocorristaMJuvenil100Supersocorrista</v>
      </c>
      <c r="H94">
        <f>COUNTIF(Canonical[Column1.id],Canonical[[#This Row],[Column1.id]])</f>
        <v>1</v>
      </c>
    </row>
    <row r="95" spans="1:8" x14ac:dyDescent="0.25">
      <c r="A95" t="s">
        <v>192</v>
      </c>
      <c r="B95" t="s">
        <v>182</v>
      </c>
      <c r="C95" t="s">
        <v>6</v>
      </c>
      <c r="D95" t="s">
        <v>144</v>
      </c>
      <c r="E95" s="5" t="s">
        <v>183</v>
      </c>
      <c r="F95" t="s">
        <v>7</v>
      </c>
      <c r="G95" t="str">
        <f>_xlfn.CONCAT(Canonical[[#This Row],[Column1.id]:[Column1.discipline]])</f>
        <v>e_200_m_natacion_con_obstaculos_absoluto_f200 m Natación con ObstáculosFAbsoluta200Natación con Obstáculos</v>
      </c>
      <c r="H95">
        <f>COUNTIF(Canonical[Column1.id],Canonical[[#This Row],[Column1.id]])</f>
        <v>1</v>
      </c>
    </row>
    <row r="96" spans="1:8" x14ac:dyDescent="0.25">
      <c r="A96" t="s">
        <v>191</v>
      </c>
      <c r="B96" t="s">
        <v>182</v>
      </c>
      <c r="C96" t="s">
        <v>8</v>
      </c>
      <c r="D96" t="s">
        <v>144</v>
      </c>
      <c r="E96" s="5" t="s">
        <v>183</v>
      </c>
      <c r="F96" t="s">
        <v>7</v>
      </c>
      <c r="G96" t="str">
        <f>_xlfn.CONCAT(Canonical[[#This Row],[Column1.id]:[Column1.discipline]])</f>
        <v>e_200_m_natacion_con_obstaculos_absoluto_m200 m Natación con ObstáculosMAbsoluta200Natación con Obstáculos</v>
      </c>
      <c r="H96">
        <f>COUNTIF(Canonical[Column1.id],Canonical[[#This Row],[Column1.id]])</f>
        <v>1</v>
      </c>
    </row>
    <row r="97" spans="1:8" x14ac:dyDescent="0.25">
      <c r="A97" t="s">
        <v>187</v>
      </c>
      <c r="B97" t="s">
        <v>182</v>
      </c>
      <c r="C97" t="s">
        <v>8</v>
      </c>
      <c r="D97" t="s">
        <v>137</v>
      </c>
      <c r="E97" s="5" t="s">
        <v>183</v>
      </c>
      <c r="F97" t="s">
        <v>7</v>
      </c>
      <c r="G97" t="str">
        <f>_xlfn.CONCAT(Canonical[[#This Row],[Column1.id]:[Column1.discipline]])</f>
        <v>e_200_m_natacion_con_obstaculos_cadete_m200 m Natación con ObstáculosMCadete200Natación con Obstáculos</v>
      </c>
      <c r="H97">
        <f>COUNTIF(Canonical[Column1.id],Canonical[[#This Row],[Column1.id]])</f>
        <v>1</v>
      </c>
    </row>
    <row r="98" spans="1:8" x14ac:dyDescent="0.25">
      <c r="A98" t="s">
        <v>190</v>
      </c>
      <c r="B98" t="s">
        <v>182</v>
      </c>
      <c r="C98" t="s">
        <v>6</v>
      </c>
      <c r="D98" t="s">
        <v>142</v>
      </c>
      <c r="E98" s="5" t="s">
        <v>183</v>
      </c>
      <c r="F98" t="s">
        <v>7</v>
      </c>
      <c r="G98" t="str">
        <f>_xlfn.CONCAT(Canonical[[#This Row],[Column1.id]:[Column1.discipline]])</f>
        <v>e_200_m_natacion_con_obstaculos_junior_f200 m Natación con ObstáculosFJúnior200Natación con Obstáculos</v>
      </c>
      <c r="H98">
        <f>COUNTIF(Canonical[Column1.id],Canonical[[#This Row],[Column1.id]])</f>
        <v>1</v>
      </c>
    </row>
    <row r="99" spans="1:8" x14ac:dyDescent="0.25">
      <c r="A99" t="s">
        <v>186</v>
      </c>
      <c r="B99" t="s">
        <v>182</v>
      </c>
      <c r="C99" t="s">
        <v>8</v>
      </c>
      <c r="D99" t="s">
        <v>142</v>
      </c>
      <c r="E99" s="5" t="s">
        <v>183</v>
      </c>
      <c r="F99" t="s">
        <v>7</v>
      </c>
      <c r="G99" t="str">
        <f>_xlfn.CONCAT(Canonical[[#This Row],[Column1.id]:[Column1.discipline]])</f>
        <v>e_200_m_natacion_con_obstaculos_junior_m200 m Natación con ObstáculosMJúnior200Natación con Obstáculos</v>
      </c>
      <c r="H99">
        <f>COUNTIF(Canonical[Column1.id],Canonical[[#This Row],[Column1.id]])</f>
        <v>1</v>
      </c>
    </row>
    <row r="100" spans="1:8" x14ac:dyDescent="0.25">
      <c r="A100" t="s">
        <v>189</v>
      </c>
      <c r="B100" t="s">
        <v>182</v>
      </c>
      <c r="C100" t="s">
        <v>6</v>
      </c>
      <c r="D100" t="s">
        <v>140</v>
      </c>
      <c r="E100" s="5" t="s">
        <v>183</v>
      </c>
      <c r="F100" t="s">
        <v>7</v>
      </c>
      <c r="G100" t="str">
        <f>_xlfn.CONCAT(Canonical[[#This Row],[Column1.id]:[Column1.discipline]])</f>
        <v>e_200_m_natacion_con_obstaculos_juvenil_f200 m Natación con ObstáculosFJuvenil200Natación con Obstáculos</v>
      </c>
      <c r="H100">
        <f>COUNTIF(Canonical[Column1.id],Canonical[[#This Row],[Column1.id]])</f>
        <v>1</v>
      </c>
    </row>
    <row r="101" spans="1:8" x14ac:dyDescent="0.25">
      <c r="A101" t="s">
        <v>188</v>
      </c>
      <c r="B101" t="s">
        <v>182</v>
      </c>
      <c r="C101" t="s">
        <v>8</v>
      </c>
      <c r="D101" t="s">
        <v>140</v>
      </c>
      <c r="E101" s="5" t="s">
        <v>183</v>
      </c>
      <c r="F101" t="s">
        <v>7</v>
      </c>
      <c r="G101" t="str">
        <f>_xlfn.CONCAT(Canonical[[#This Row],[Column1.id]:[Column1.discipline]])</f>
        <v>e_200_m_natacion_con_obstaculos_juvenil_m200 m Natación con ObstáculosMJuvenil200Natación con Obstáculos</v>
      </c>
      <c r="H101">
        <f>COUNTIF(Canonical[Column1.id],Canonical[[#This Row],[Column1.id]])</f>
        <v>1</v>
      </c>
    </row>
    <row r="102" spans="1:8" x14ac:dyDescent="0.25">
      <c r="A102" t="s">
        <v>302</v>
      </c>
      <c r="B102" t="s">
        <v>182</v>
      </c>
      <c r="C102" t="s">
        <v>6</v>
      </c>
      <c r="D102" t="s">
        <v>173</v>
      </c>
      <c r="E102" s="5" t="s">
        <v>183</v>
      </c>
      <c r="F102" t="s">
        <v>7</v>
      </c>
      <c r="G102" t="str">
        <f>_xlfn.CONCAT(Canonical[[#This Row],[Column1.id]:[Column1.discipline]])</f>
        <v>e_200_m_natacion_con_obstaculos_master_30_39_f200 m Natación con ObstáculosFMáster 30-39200Natación con Obstáculos</v>
      </c>
      <c r="H102">
        <f>COUNTIF(Canonical[Column1.id],Canonical[[#This Row],[Column1.id]])</f>
        <v>1</v>
      </c>
    </row>
    <row r="103" spans="1:8" x14ac:dyDescent="0.25">
      <c r="A103" t="s">
        <v>184</v>
      </c>
      <c r="B103" t="s">
        <v>182</v>
      </c>
      <c r="C103" t="s">
        <v>8</v>
      </c>
      <c r="D103" t="s">
        <v>173</v>
      </c>
      <c r="E103" s="5" t="s">
        <v>183</v>
      </c>
      <c r="F103" t="s">
        <v>7</v>
      </c>
      <c r="G103" t="str">
        <f>_xlfn.CONCAT(Canonical[[#This Row],[Column1.id]:[Column1.discipline]])</f>
        <v>e_200_m_natacion_con_obstaculos_master_30_39_m200 m Natación con ObstáculosMMáster 30-39200Natación con Obstáculos</v>
      </c>
      <c r="H103">
        <f>COUNTIF(Canonical[Column1.id],Canonical[[#This Row],[Column1.id]])</f>
        <v>1</v>
      </c>
    </row>
    <row r="104" spans="1:8" x14ac:dyDescent="0.25">
      <c r="A104" t="s">
        <v>336</v>
      </c>
      <c r="B104" t="s">
        <v>182</v>
      </c>
      <c r="C104" t="s">
        <v>6</v>
      </c>
      <c r="D104" t="s">
        <v>156</v>
      </c>
      <c r="E104" s="5" t="s">
        <v>183</v>
      </c>
      <c r="F104" t="s">
        <v>7</v>
      </c>
      <c r="G104" t="str">
        <f>_xlfn.CONCAT(Canonical[[#This Row],[Column1.id]:[Column1.discipline]])</f>
        <v>e_200_m_natacion_con_obstaculos_master_40_49_f200 m Natación con ObstáculosFMáster 40-49200Natación con Obstáculos</v>
      </c>
      <c r="H104">
        <f>COUNTIF(Canonical[Column1.id],Canonical[[#This Row],[Column1.id]])</f>
        <v>1</v>
      </c>
    </row>
    <row r="105" spans="1:8" x14ac:dyDescent="0.25">
      <c r="A105" t="s">
        <v>185</v>
      </c>
      <c r="B105" t="s">
        <v>182</v>
      </c>
      <c r="C105" t="s">
        <v>8</v>
      </c>
      <c r="D105" t="s">
        <v>156</v>
      </c>
      <c r="E105" s="5" t="s">
        <v>183</v>
      </c>
      <c r="F105" t="s">
        <v>7</v>
      </c>
      <c r="G105" t="str">
        <f>_xlfn.CONCAT(Canonical[[#This Row],[Column1.id]:[Column1.discipline]])</f>
        <v>e_200_m_natacion_con_obstaculos_master_40_49_m200 m Natación con ObstáculosMMáster 40-49200Natación con Obstáculos</v>
      </c>
      <c r="H105">
        <f>COUNTIF(Canonical[Column1.id],Canonical[[#This Row],[Column1.id]])</f>
        <v>1</v>
      </c>
    </row>
    <row r="106" spans="1:8" x14ac:dyDescent="0.25">
      <c r="A106" t="s">
        <v>195</v>
      </c>
      <c r="B106" t="s">
        <v>194</v>
      </c>
      <c r="C106" t="s">
        <v>6</v>
      </c>
      <c r="D106" t="s">
        <v>144</v>
      </c>
      <c r="E106" s="5" t="s">
        <v>183</v>
      </c>
      <c r="F106" t="s">
        <v>178</v>
      </c>
      <c r="G106" t="str">
        <f>_xlfn.CONCAT(Canonical[[#This Row],[Column1.id]:[Column1.discipline]])</f>
        <v>e_200_m_supersocorrista_absoluto_f200 m SupersocorristaFAbsoluta200Supersocorrista</v>
      </c>
      <c r="H106">
        <f>COUNTIF(Canonical[Column1.id],Canonical[[#This Row],[Column1.id]])</f>
        <v>1</v>
      </c>
    </row>
    <row r="107" spans="1:8" x14ac:dyDescent="0.25">
      <c r="A107" t="s">
        <v>197</v>
      </c>
      <c r="B107" t="s">
        <v>194</v>
      </c>
      <c r="C107" t="s">
        <v>8</v>
      </c>
      <c r="D107" t="s">
        <v>144</v>
      </c>
      <c r="E107" s="5" t="s">
        <v>183</v>
      </c>
      <c r="F107" t="s">
        <v>178</v>
      </c>
      <c r="G107" t="str">
        <f>_xlfn.CONCAT(Canonical[[#This Row],[Column1.id]:[Column1.discipline]])</f>
        <v>e_200_m_supersocorrista_absoluto_m200 m SupersocorristaMAbsoluta200Supersocorrista</v>
      </c>
      <c r="H107">
        <f>COUNTIF(Canonical[Column1.id],Canonical[[#This Row],[Column1.id]])</f>
        <v>1</v>
      </c>
    </row>
    <row r="108" spans="1:8" x14ac:dyDescent="0.25">
      <c r="A108" t="s">
        <v>199</v>
      </c>
      <c r="B108" t="s">
        <v>194</v>
      </c>
      <c r="C108" t="s">
        <v>8</v>
      </c>
      <c r="D108" t="s">
        <v>137</v>
      </c>
      <c r="E108" s="5" t="s">
        <v>183</v>
      </c>
      <c r="F108" t="s">
        <v>178</v>
      </c>
      <c r="G108" t="str">
        <f>_xlfn.CONCAT(Canonical[[#This Row],[Column1.id]:[Column1.discipline]])</f>
        <v>e_200_m_supersocorrista_cadete_m200 m SupersocorristaMCadete200Supersocorrista</v>
      </c>
      <c r="H108">
        <f>COUNTIF(Canonical[Column1.id],Canonical[[#This Row],[Column1.id]])</f>
        <v>1</v>
      </c>
    </row>
    <row r="109" spans="1:8" x14ac:dyDescent="0.25">
      <c r="A109" t="s">
        <v>198</v>
      </c>
      <c r="B109" t="s">
        <v>194</v>
      </c>
      <c r="C109" t="s">
        <v>6</v>
      </c>
      <c r="D109" t="s">
        <v>142</v>
      </c>
      <c r="E109" s="5" t="s">
        <v>183</v>
      </c>
      <c r="F109" t="s">
        <v>178</v>
      </c>
      <c r="G109" t="str">
        <f>_xlfn.CONCAT(Canonical[[#This Row],[Column1.id]:[Column1.discipline]])</f>
        <v>e_200_m_supersocorrista_junior_f200 m SupersocorristaFJúnior200Supersocorrista</v>
      </c>
      <c r="H109">
        <f>COUNTIF(Canonical[Column1.id],Canonical[[#This Row],[Column1.id]])</f>
        <v>1</v>
      </c>
    </row>
    <row r="110" spans="1:8" x14ac:dyDescent="0.25">
      <c r="A110" t="s">
        <v>196</v>
      </c>
      <c r="B110" t="s">
        <v>194</v>
      </c>
      <c r="C110" t="s">
        <v>8</v>
      </c>
      <c r="D110" t="s">
        <v>142</v>
      </c>
      <c r="E110" s="5" t="s">
        <v>183</v>
      </c>
      <c r="F110" t="s">
        <v>178</v>
      </c>
      <c r="G110" t="str">
        <f>_xlfn.CONCAT(Canonical[[#This Row],[Column1.id]:[Column1.discipline]])</f>
        <v>e_200_m_supersocorrista_junior_m200 m SupersocorristaMJúnior200Supersocorrista</v>
      </c>
      <c r="H110">
        <f>COUNTIF(Canonical[Column1.id],Canonical[[#This Row],[Column1.id]])</f>
        <v>1</v>
      </c>
    </row>
    <row r="111" spans="1:8" x14ac:dyDescent="0.25">
      <c r="A111" t="s">
        <v>193</v>
      </c>
      <c r="B111" t="s">
        <v>194</v>
      </c>
      <c r="C111" t="s">
        <v>6</v>
      </c>
      <c r="D111" t="s">
        <v>140</v>
      </c>
      <c r="E111" s="5" t="s">
        <v>183</v>
      </c>
      <c r="F111" t="s">
        <v>178</v>
      </c>
      <c r="G111" t="str">
        <f>_xlfn.CONCAT(Canonical[[#This Row],[Column1.id]:[Column1.discipline]])</f>
        <v>e_200_m_supersocorrista_juvenil_f200 m SupersocorristaFJuvenil200Supersocorrista</v>
      </c>
      <c r="H111">
        <f>COUNTIF(Canonical[Column1.id],Canonical[[#This Row],[Column1.id]])</f>
        <v>1</v>
      </c>
    </row>
    <row r="112" spans="1:8" x14ac:dyDescent="0.25">
      <c r="A112" t="s">
        <v>337</v>
      </c>
      <c r="B112" t="s">
        <v>194</v>
      </c>
      <c r="C112" t="s">
        <v>8</v>
      </c>
      <c r="D112" t="s">
        <v>140</v>
      </c>
      <c r="E112" s="5" t="s">
        <v>183</v>
      </c>
      <c r="F112" t="s">
        <v>178</v>
      </c>
      <c r="G112" t="str">
        <f>_xlfn.CONCAT(Canonical[[#This Row],[Column1.id]:[Column1.discipline]])</f>
        <v>e_200_m_supersocorrista_juvenil_m200 m SupersocorristaMJuvenil200Supersocorrista</v>
      </c>
      <c r="H112">
        <f>COUNTIF(Canonical[Column1.id],Canonical[[#This Row],[Column1.id]])</f>
        <v>1</v>
      </c>
    </row>
    <row r="113" spans="1:8" x14ac:dyDescent="0.25">
      <c r="A113" t="s">
        <v>206</v>
      </c>
      <c r="B113" t="s">
        <v>201</v>
      </c>
      <c r="C113" t="s">
        <v>6</v>
      </c>
      <c r="D113" t="s">
        <v>144</v>
      </c>
      <c r="E113" s="5" t="s">
        <v>202</v>
      </c>
      <c r="F113" t="s">
        <v>10</v>
      </c>
      <c r="G113" t="str">
        <f>_xlfn.CONCAT(Canonical[[#This Row],[Column1.id]:[Column1.discipline]])</f>
        <v>e_25_m_remolque_de_maniqui_absoluto_f25 m Remolque de ManiquíFAbsoluta25Remolque de Maniquí</v>
      </c>
      <c r="H113">
        <f>COUNTIF(Canonical[Column1.id],Canonical[[#This Row],[Column1.id]])</f>
        <v>1</v>
      </c>
    </row>
    <row r="114" spans="1:8" x14ac:dyDescent="0.25">
      <c r="A114" t="s">
        <v>204</v>
      </c>
      <c r="B114" t="s">
        <v>201</v>
      </c>
      <c r="C114" t="s">
        <v>8</v>
      </c>
      <c r="D114" t="s">
        <v>144</v>
      </c>
      <c r="E114" s="5" t="s">
        <v>202</v>
      </c>
      <c r="F114" t="s">
        <v>10</v>
      </c>
      <c r="G114" t="str">
        <f>_xlfn.CONCAT(Canonical[[#This Row],[Column1.id]:[Column1.discipline]])</f>
        <v>e_25_m_remolque_de_maniqui_absoluto_m25 m Remolque de ManiquíMAbsoluta25Remolque de Maniquí</v>
      </c>
      <c r="H114">
        <f>COUNTIF(Canonical[Column1.id],Canonical[[#This Row],[Column1.id]])</f>
        <v>1</v>
      </c>
    </row>
    <row r="115" spans="1:8" x14ac:dyDescent="0.25">
      <c r="A115" t="s">
        <v>203</v>
      </c>
      <c r="B115" t="s">
        <v>201</v>
      </c>
      <c r="C115" t="s">
        <v>6</v>
      </c>
      <c r="D115" t="s">
        <v>142</v>
      </c>
      <c r="E115" s="5" t="s">
        <v>202</v>
      </c>
      <c r="F115" t="s">
        <v>10</v>
      </c>
      <c r="G115" t="str">
        <f>_xlfn.CONCAT(Canonical[[#This Row],[Column1.id]:[Column1.discipline]])</f>
        <v>e_25_m_remolque_de_maniqui_junior_f25 m Remolque de ManiquíFJúnior25Remolque de Maniquí</v>
      </c>
      <c r="H115">
        <f>COUNTIF(Canonical[Column1.id],Canonical[[#This Row],[Column1.id]])</f>
        <v>1</v>
      </c>
    </row>
    <row r="116" spans="1:8" x14ac:dyDescent="0.25">
      <c r="A116" t="s">
        <v>205</v>
      </c>
      <c r="B116" t="s">
        <v>201</v>
      </c>
      <c r="C116" t="s">
        <v>8</v>
      </c>
      <c r="D116" t="s">
        <v>142</v>
      </c>
      <c r="E116" s="5" t="s">
        <v>202</v>
      </c>
      <c r="F116" t="s">
        <v>10</v>
      </c>
      <c r="G116" t="str">
        <f>_xlfn.CONCAT(Canonical[[#This Row],[Column1.id]:[Column1.discipline]])</f>
        <v>e_25_m_remolque_de_maniqui_junior_m25 m Remolque de ManiquíMJúnior25Remolque de Maniquí</v>
      </c>
      <c r="H116">
        <f>COUNTIF(Canonical[Column1.id],Canonical[[#This Row],[Column1.id]])</f>
        <v>1</v>
      </c>
    </row>
    <row r="117" spans="1:8" x14ac:dyDescent="0.25">
      <c r="A117" t="s">
        <v>200</v>
      </c>
      <c r="B117" t="s">
        <v>201</v>
      </c>
      <c r="C117" t="s">
        <v>8</v>
      </c>
      <c r="D117" t="s">
        <v>140</v>
      </c>
      <c r="E117" s="5" t="s">
        <v>202</v>
      </c>
      <c r="F117" t="s">
        <v>10</v>
      </c>
      <c r="G117" t="str">
        <f>_xlfn.CONCAT(Canonical[[#This Row],[Column1.id]:[Column1.discipline]])</f>
        <v>e_25_m_remolque_de_maniqui_juvenil_m25 m Remolque de ManiquíMJuvenil25Remolque de Maniquí</v>
      </c>
      <c r="H117">
        <f>COUNTIF(Canonical[Column1.id],Canonical[[#This Row],[Column1.id]])</f>
        <v>1</v>
      </c>
    </row>
    <row r="118" spans="1:8" x14ac:dyDescent="0.25">
      <c r="A118" t="s">
        <v>207</v>
      </c>
      <c r="B118" t="s">
        <v>208</v>
      </c>
      <c r="C118" t="s">
        <v>6</v>
      </c>
      <c r="D118" t="s">
        <v>144</v>
      </c>
      <c r="E118" s="5" t="s">
        <v>209</v>
      </c>
      <c r="F118" t="s">
        <v>20</v>
      </c>
      <c r="G118" t="str">
        <f>_xlfn.CONCAT(Canonical[[#This Row],[Column1.id]:[Column1.discipline]])</f>
        <v>e_4x12_5_m_relevo_remolque_de_maniqui_absoluto_f4x12,5 m Relevo Remolque de ManiquíFAbsoluta4x12,5Relevo Remolque de Maniquí</v>
      </c>
      <c r="H118">
        <f>COUNTIF(Canonical[Column1.id],Canonical[[#This Row],[Column1.id]])</f>
        <v>1</v>
      </c>
    </row>
    <row r="119" spans="1:8" x14ac:dyDescent="0.25">
      <c r="A119" t="s">
        <v>210</v>
      </c>
      <c r="B119" t="s">
        <v>208</v>
      </c>
      <c r="C119" t="s">
        <v>8</v>
      </c>
      <c r="D119" t="s">
        <v>144</v>
      </c>
      <c r="E119" s="5" t="s">
        <v>209</v>
      </c>
      <c r="F119" t="s">
        <v>20</v>
      </c>
      <c r="G119" t="str">
        <f>_xlfn.CONCAT(Canonical[[#This Row],[Column1.id]:[Column1.discipline]])</f>
        <v>e_4x12_5_m_relevo_remolque_de_maniqui_absoluto_m4x12,5 m Relevo Remolque de ManiquíMAbsoluta4x12,5Relevo Remolque de Maniquí</v>
      </c>
      <c r="H119">
        <f>COUNTIF(Canonical[Column1.id],Canonical[[#This Row],[Column1.id]])</f>
        <v>1</v>
      </c>
    </row>
    <row r="120" spans="1:8" x14ac:dyDescent="0.25">
      <c r="A120" t="s">
        <v>214</v>
      </c>
      <c r="B120" t="s">
        <v>213</v>
      </c>
      <c r="C120" t="s">
        <v>6</v>
      </c>
      <c r="D120" t="s">
        <v>144</v>
      </c>
      <c r="E120" s="5" t="s">
        <v>18</v>
      </c>
      <c r="F120" t="s">
        <v>21</v>
      </c>
      <c r="G120" t="str">
        <f>_xlfn.CONCAT(Canonical[[#This Row],[Column1.id]:[Column1.discipline]])</f>
        <v>e_4x25_m_relevo_combinado_absoluto_f4x25 m Relevo CombinadoFAbsoluta4x25Relevo Combinado</v>
      </c>
      <c r="H120">
        <f>COUNTIF(Canonical[Column1.id],Canonical[[#This Row],[Column1.id]])</f>
        <v>1</v>
      </c>
    </row>
    <row r="121" spans="1:8" x14ac:dyDescent="0.25">
      <c r="A121" t="s">
        <v>212</v>
      </c>
      <c r="B121" t="s">
        <v>213</v>
      </c>
      <c r="C121" t="s">
        <v>8</v>
      </c>
      <c r="D121" t="s">
        <v>144</v>
      </c>
      <c r="E121" s="5" t="s">
        <v>18</v>
      </c>
      <c r="F121" t="s">
        <v>21</v>
      </c>
      <c r="G121" t="str">
        <f>_xlfn.CONCAT(Canonical[[#This Row],[Column1.id]:[Column1.discipline]])</f>
        <v>e_4x25_m_relevo_combinado_absoluto_m4x25 m Relevo CombinadoMAbsoluta4x25Relevo Combinado</v>
      </c>
      <c r="H121">
        <f>COUNTIF(Canonical[Column1.id],Canonical[[#This Row],[Column1.id]])</f>
        <v>1</v>
      </c>
    </row>
    <row r="122" spans="1:8" x14ac:dyDescent="0.25">
      <c r="A122" t="s">
        <v>217</v>
      </c>
      <c r="B122" t="s">
        <v>216</v>
      </c>
      <c r="C122" t="s">
        <v>6</v>
      </c>
      <c r="D122" t="s">
        <v>144</v>
      </c>
      <c r="E122" s="5" t="s">
        <v>18</v>
      </c>
      <c r="F122" t="s">
        <v>19</v>
      </c>
      <c r="G122" t="str">
        <f>_xlfn.CONCAT(Canonical[[#This Row],[Column1.id]:[Column1.discipline]])</f>
        <v>e_4x25_m_relevo_natacion_con_obstaculos_absoluto_f4x25 m Relevo Natación con ObstáculosFAbsoluta4x25Relevo Natación con Obstáculos</v>
      </c>
      <c r="H122">
        <f>COUNTIF(Canonical[Column1.id],Canonical[[#This Row],[Column1.id]])</f>
        <v>1</v>
      </c>
    </row>
    <row r="123" spans="1:8" x14ac:dyDescent="0.25">
      <c r="A123" t="s">
        <v>215</v>
      </c>
      <c r="B123" t="s">
        <v>216</v>
      </c>
      <c r="C123" t="s">
        <v>8</v>
      </c>
      <c r="D123" t="s">
        <v>144</v>
      </c>
      <c r="E123" s="5" t="s">
        <v>18</v>
      </c>
      <c r="F123" t="s">
        <v>19</v>
      </c>
      <c r="G123" t="str">
        <f>_xlfn.CONCAT(Canonical[[#This Row],[Column1.id]:[Column1.discipline]])</f>
        <v>e_4x25_m_relevo_natacion_con_obstaculos_absoluto_m4x25 m Relevo Natación con ObstáculosMAbsoluta4x25Relevo Natación con Obstáculos</v>
      </c>
      <c r="H123">
        <f>COUNTIF(Canonical[Column1.id],Canonical[[#This Row],[Column1.id]])</f>
        <v>1</v>
      </c>
    </row>
    <row r="124" spans="1:8" x14ac:dyDescent="0.25">
      <c r="A124" t="s">
        <v>219</v>
      </c>
      <c r="B124" t="s">
        <v>35</v>
      </c>
      <c r="C124" t="s">
        <v>6</v>
      </c>
      <c r="D124" t="s">
        <v>144</v>
      </c>
      <c r="E124" s="5" t="s">
        <v>18</v>
      </c>
      <c r="F124" t="s">
        <v>20</v>
      </c>
      <c r="G124" t="str">
        <f>_xlfn.CONCAT(Canonical[[#This Row],[Column1.id]:[Column1.discipline]])</f>
        <v>e_4x25_m_relevo_remolque_de_maniqui_absoluto_f4x25 m Relevo Remolque de ManiquíFAbsoluta4x25Relevo Remolque de Maniquí</v>
      </c>
      <c r="H124">
        <f>COUNTIF(Canonical[Column1.id],Canonical[[#This Row],[Column1.id]])</f>
        <v>1</v>
      </c>
    </row>
    <row r="125" spans="1:8" x14ac:dyDescent="0.25">
      <c r="A125" t="s">
        <v>218</v>
      </c>
      <c r="B125" t="s">
        <v>35</v>
      </c>
      <c r="C125" t="s">
        <v>8</v>
      </c>
      <c r="D125" t="s">
        <v>144</v>
      </c>
      <c r="E125" s="5" t="s">
        <v>18</v>
      </c>
      <c r="F125" t="s">
        <v>20</v>
      </c>
      <c r="G125" t="str">
        <f>_xlfn.CONCAT(Canonical[[#This Row],[Column1.id]:[Column1.discipline]])</f>
        <v>e_4x25_m_relevo_remolque_de_maniqui_absoluto_m4x25 m Relevo Remolque de ManiquíMAbsoluta4x25Relevo Remolque de Maniquí</v>
      </c>
      <c r="H125">
        <f>COUNTIF(Canonical[Column1.id],Canonical[[#This Row],[Column1.id]])</f>
        <v>1</v>
      </c>
    </row>
    <row r="126" spans="1:8" x14ac:dyDescent="0.25">
      <c r="A126" t="s">
        <v>220</v>
      </c>
      <c r="B126" t="s">
        <v>35</v>
      </c>
      <c r="C126" t="s">
        <v>6</v>
      </c>
      <c r="D126" t="s">
        <v>142</v>
      </c>
      <c r="E126" s="5" t="s">
        <v>18</v>
      </c>
      <c r="F126" t="s">
        <v>20</v>
      </c>
      <c r="G126" t="str">
        <f>_xlfn.CONCAT(Canonical[[#This Row],[Column1.id]:[Column1.discipline]])</f>
        <v>e_4x25_m_relevo_remolque_de_maniqui_junior_f4x25 m Relevo Remolque de ManiquíFJúnior4x25Relevo Remolque de Maniquí</v>
      </c>
      <c r="H126">
        <f>COUNTIF(Canonical[Column1.id],Canonical[[#This Row],[Column1.id]])</f>
        <v>1</v>
      </c>
    </row>
    <row r="127" spans="1:8" x14ac:dyDescent="0.25">
      <c r="A127" t="s">
        <v>221</v>
      </c>
      <c r="B127" t="s">
        <v>35</v>
      </c>
      <c r="C127" t="s">
        <v>8</v>
      </c>
      <c r="D127" t="s">
        <v>142</v>
      </c>
      <c r="E127" s="5" t="s">
        <v>18</v>
      </c>
      <c r="F127" t="s">
        <v>20</v>
      </c>
      <c r="G127" t="str">
        <f>_xlfn.CONCAT(Canonical[[#This Row],[Column1.id]:[Column1.discipline]])</f>
        <v>e_4x25_m_relevo_remolque_de_maniqui_junior_m4x25 m Relevo Remolque de ManiquíMJúnior4x25Relevo Remolque de Maniquí</v>
      </c>
      <c r="H127">
        <f>COUNTIF(Canonical[Column1.id],Canonical[[#This Row],[Column1.id]])</f>
        <v>1</v>
      </c>
    </row>
    <row r="128" spans="1:8" x14ac:dyDescent="0.25">
      <c r="A128" t="s">
        <v>115</v>
      </c>
      <c r="B128" t="s">
        <v>35</v>
      </c>
      <c r="C128" t="s">
        <v>6</v>
      </c>
      <c r="D128" t="s">
        <v>113</v>
      </c>
      <c r="E128" s="5" t="s">
        <v>18</v>
      </c>
      <c r="F128" t="s">
        <v>20</v>
      </c>
      <c r="G128" t="str">
        <f>_xlfn.CONCAT(Canonical[[#This Row],[Column1.id]:[Column1.discipline]])</f>
        <v>e_4x25_m_relevo_remolque_de_maniqui_master_r4_120_f4x25 m Relevo Remolque de ManiquíFMáster R4 +1204x25Relevo Remolque de Maniquí</v>
      </c>
      <c r="H128">
        <f>COUNTIF(Canonical[Column1.id],Canonical[[#This Row],[Column1.id]])</f>
        <v>1</v>
      </c>
    </row>
    <row r="129" spans="1:8" x14ac:dyDescent="0.25">
      <c r="A129" t="s">
        <v>112</v>
      </c>
      <c r="B129" t="s">
        <v>35</v>
      </c>
      <c r="C129" t="s">
        <v>8</v>
      </c>
      <c r="D129" t="s">
        <v>113</v>
      </c>
      <c r="E129" s="5" t="s">
        <v>18</v>
      </c>
      <c r="F129" t="s">
        <v>20</v>
      </c>
      <c r="G129" t="str">
        <f>_xlfn.CONCAT(Canonical[[#This Row],[Column1.id]:[Column1.discipline]])</f>
        <v>e_4x25_m_relevo_remolque_de_maniqui_master_r4_120_m4x25 m Relevo Remolque de ManiquíMMáster R4 +1204x25Relevo Remolque de Maniquí</v>
      </c>
      <c r="H129">
        <f>COUNTIF(Canonical[Column1.id],Canonical[[#This Row],[Column1.id]])</f>
        <v>1</v>
      </c>
    </row>
    <row r="130" spans="1:8" x14ac:dyDescent="0.25">
      <c r="A130" t="s">
        <v>338</v>
      </c>
      <c r="B130" t="s">
        <v>35</v>
      </c>
      <c r="C130" t="s">
        <v>6</v>
      </c>
      <c r="D130" t="s">
        <v>33</v>
      </c>
      <c r="E130" s="5" t="s">
        <v>18</v>
      </c>
      <c r="F130" t="s">
        <v>20</v>
      </c>
      <c r="G130" t="str">
        <f>_xlfn.CONCAT(Canonical[[#This Row],[Column1.id]:[Column1.discipline]])</f>
        <v>e_4x25_m_relevo_remolque_de_maniqui_master_r4_140_f4x25 m Relevo Remolque de ManiquíFMáster R4 +1404x25Relevo Remolque de Maniquí</v>
      </c>
      <c r="H130">
        <f>COUNTIF(Canonical[Column1.id],Canonical[[#This Row],[Column1.id]])</f>
        <v>1</v>
      </c>
    </row>
    <row r="131" spans="1:8" x14ac:dyDescent="0.25">
      <c r="A131" t="s">
        <v>114</v>
      </c>
      <c r="B131" t="s">
        <v>35</v>
      </c>
      <c r="C131" t="s">
        <v>8</v>
      </c>
      <c r="D131" t="s">
        <v>33</v>
      </c>
      <c r="E131" s="5" t="s">
        <v>18</v>
      </c>
      <c r="F131" t="s">
        <v>20</v>
      </c>
      <c r="G131" t="str">
        <f>_xlfn.CONCAT(Canonical[[#This Row],[Column1.id]:[Column1.discipline]])</f>
        <v>e_4x25_m_relevo_remolque_de_maniqui_master_r4_140_m4x25 m Relevo Remolque de ManiquíMMáster R4 +1404x25Relevo Remolque de Maniquí</v>
      </c>
      <c r="H131">
        <f>COUNTIF(Canonical[Column1.id],Canonical[[#This Row],[Column1.id]])</f>
        <v>1</v>
      </c>
    </row>
    <row r="132" spans="1:8" x14ac:dyDescent="0.25">
      <c r="A132" t="s">
        <v>91</v>
      </c>
      <c r="B132" t="s">
        <v>35</v>
      </c>
      <c r="C132" t="s">
        <v>6</v>
      </c>
      <c r="D132" t="s">
        <v>30</v>
      </c>
      <c r="E132" s="5" t="s">
        <v>18</v>
      </c>
      <c r="F132" t="s">
        <v>20</v>
      </c>
      <c r="G132" t="str">
        <f>_xlfn.CONCAT(Canonical[[#This Row],[Column1.id]:[Column1.discipline]])</f>
        <v>e_4x25_m_relevo_remolque_de_maniqui_master_r4_170_f4x25 m Relevo Remolque de ManiquíFMáster R4 +1704x25Relevo Remolque de Maniquí</v>
      </c>
      <c r="H132">
        <f>COUNTIF(Canonical[Column1.id],Canonical[[#This Row],[Column1.id]])</f>
        <v>1</v>
      </c>
    </row>
    <row r="133" spans="1:8" x14ac:dyDescent="0.25">
      <c r="A133" t="s">
        <v>78</v>
      </c>
      <c r="B133" t="s">
        <v>35</v>
      </c>
      <c r="C133" t="s">
        <v>8</v>
      </c>
      <c r="D133" t="s">
        <v>30</v>
      </c>
      <c r="E133" s="5" t="s">
        <v>18</v>
      </c>
      <c r="F133" t="s">
        <v>20</v>
      </c>
      <c r="G133" t="str">
        <f>_xlfn.CONCAT(Canonical[[#This Row],[Column1.id]:[Column1.discipline]])</f>
        <v>e_4x25_m_relevo_remolque_de_maniqui_master_r4_170_m4x25 m Relevo Remolque de ManiquíMMáster R4 +1704x25Relevo Remolque de Maniquí</v>
      </c>
      <c r="H133">
        <f>COUNTIF(Canonical[Column1.id],Canonical[[#This Row],[Column1.id]])</f>
        <v>1</v>
      </c>
    </row>
    <row r="134" spans="1:8" x14ac:dyDescent="0.25">
      <c r="A134" t="s">
        <v>77</v>
      </c>
      <c r="B134" t="s">
        <v>35</v>
      </c>
      <c r="C134" t="s">
        <v>6</v>
      </c>
      <c r="D134" t="s">
        <v>32</v>
      </c>
      <c r="E134" s="5" t="s">
        <v>18</v>
      </c>
      <c r="F134" t="s">
        <v>20</v>
      </c>
      <c r="G134" t="str">
        <f>_xlfn.CONCAT(Canonical[[#This Row],[Column1.id]:[Column1.discipline]])</f>
        <v>e_4x25_m_relevo_remolque_de_maniqui_master_r4_200_f4x25 m Relevo Remolque de ManiquíFMáster R4 +2004x25Relevo Remolque de Maniquí</v>
      </c>
      <c r="H134">
        <f>COUNTIF(Canonical[Column1.id],Canonical[[#This Row],[Column1.id]])</f>
        <v>1</v>
      </c>
    </row>
    <row r="135" spans="1:8" x14ac:dyDescent="0.25">
      <c r="A135" t="s">
        <v>79</v>
      </c>
      <c r="B135" t="s">
        <v>35</v>
      </c>
      <c r="C135" t="s">
        <v>8</v>
      </c>
      <c r="D135" t="s">
        <v>32</v>
      </c>
      <c r="E135" s="5" t="s">
        <v>18</v>
      </c>
      <c r="F135" t="s">
        <v>20</v>
      </c>
      <c r="G135" t="str">
        <f>_xlfn.CONCAT(Canonical[[#This Row],[Column1.id]:[Column1.discipline]])</f>
        <v>e_4x25_m_relevo_remolque_de_maniqui_master_r4_200_m4x25 m Relevo Remolque de ManiquíMMáster R4 +2004x25Relevo Remolque de Maniquí</v>
      </c>
      <c r="H135">
        <f>COUNTIF(Canonical[Column1.id],Canonical[[#This Row],[Column1.id]])</f>
        <v>1</v>
      </c>
    </row>
    <row r="136" spans="1:8" x14ac:dyDescent="0.25">
      <c r="A136" t="s">
        <v>116</v>
      </c>
      <c r="B136" t="s">
        <v>35</v>
      </c>
      <c r="C136" t="s">
        <v>8</v>
      </c>
      <c r="D136" t="s">
        <v>34</v>
      </c>
      <c r="E136" s="5" t="s">
        <v>18</v>
      </c>
      <c r="F136" t="s">
        <v>20</v>
      </c>
      <c r="G136" t="str">
        <f>_xlfn.CONCAT(Canonical[[#This Row],[Column1.id]:[Column1.discipline]])</f>
        <v>e_4x25_m_relevo_remolque_de_maniqui_master_r4_230_m4x25 m Relevo Remolque de ManiquíMMáster R4 +2304x25Relevo Remolque de Maniquí</v>
      </c>
      <c r="H136">
        <f>COUNTIF(Canonical[Column1.id],Canonical[[#This Row],[Column1.id]])</f>
        <v>1</v>
      </c>
    </row>
    <row r="137" spans="1:8" x14ac:dyDescent="0.25">
      <c r="A137" t="s">
        <v>222</v>
      </c>
      <c r="B137" t="s">
        <v>223</v>
      </c>
      <c r="C137" t="s">
        <v>211</v>
      </c>
      <c r="D137" t="s">
        <v>144</v>
      </c>
      <c r="E137" s="5" t="s">
        <v>18</v>
      </c>
      <c r="F137" t="s">
        <v>224</v>
      </c>
      <c r="G137" t="str">
        <f>_xlfn.CONCAT(Canonical[[#This Row],[Column1.id]:[Column1.discipline]])</f>
        <v>e_4x25_m_relevo_socorrista_absoluto_x4x25 m Relevo SocorristaXAbsoluta4x25Relevo Socorrista</v>
      </c>
      <c r="H137">
        <f>COUNTIF(Canonical[Column1.id],Canonical[[#This Row],[Column1.id]])</f>
        <v>1</v>
      </c>
    </row>
    <row r="138" spans="1:8" x14ac:dyDescent="0.25">
      <c r="A138" t="s">
        <v>228</v>
      </c>
      <c r="B138" t="s">
        <v>36</v>
      </c>
      <c r="C138" t="s">
        <v>6</v>
      </c>
      <c r="D138" t="s">
        <v>144</v>
      </c>
      <c r="E138" s="5" t="s">
        <v>31</v>
      </c>
      <c r="F138" t="s">
        <v>21</v>
      </c>
      <c r="G138" t="str">
        <f>_xlfn.CONCAT(Canonical[[#This Row],[Column1.id]:[Column1.discipline]])</f>
        <v>e_4x50_m_relevo_combinado_absoluto_f4x50 m Relevo CombinadoFAbsoluta4x50Relevo Combinado</v>
      </c>
      <c r="H138">
        <f>COUNTIF(Canonical[Column1.id],Canonical[[#This Row],[Column1.id]])</f>
        <v>1</v>
      </c>
    </row>
    <row r="139" spans="1:8" x14ac:dyDescent="0.25">
      <c r="A139" t="s">
        <v>226</v>
      </c>
      <c r="B139" t="s">
        <v>36</v>
      </c>
      <c r="C139" t="s">
        <v>8</v>
      </c>
      <c r="D139" t="s">
        <v>144</v>
      </c>
      <c r="E139" s="5" t="s">
        <v>31</v>
      </c>
      <c r="F139" t="s">
        <v>21</v>
      </c>
      <c r="G139" t="str">
        <f>_xlfn.CONCAT(Canonical[[#This Row],[Column1.id]:[Column1.discipline]])</f>
        <v>e_4x50_m_relevo_combinado_absoluto_m4x50 m Relevo CombinadoMAbsoluta4x50Relevo Combinado</v>
      </c>
      <c r="H139">
        <f>COUNTIF(Canonical[Column1.id],Canonical[[#This Row],[Column1.id]])</f>
        <v>1</v>
      </c>
    </row>
    <row r="140" spans="1:8" x14ac:dyDescent="0.25">
      <c r="A140" t="s">
        <v>339</v>
      </c>
      <c r="B140" t="s">
        <v>36</v>
      </c>
      <c r="C140" t="s">
        <v>8</v>
      </c>
      <c r="D140" t="s">
        <v>137</v>
      </c>
      <c r="E140" s="5" t="s">
        <v>31</v>
      </c>
      <c r="F140" t="s">
        <v>21</v>
      </c>
      <c r="G140" t="str">
        <f>_xlfn.CONCAT(Canonical[[#This Row],[Column1.id]:[Column1.discipline]])</f>
        <v>e_4x50_m_relevo_combinado_cadete_m4x50 m Relevo CombinadoMCadete4x50Relevo Combinado</v>
      </c>
      <c r="H140">
        <f>COUNTIF(Canonical[Column1.id],Canonical[[#This Row],[Column1.id]])</f>
        <v>1</v>
      </c>
    </row>
    <row r="141" spans="1:8" x14ac:dyDescent="0.25">
      <c r="A141" t="s">
        <v>227</v>
      </c>
      <c r="B141" t="s">
        <v>36</v>
      </c>
      <c r="C141" t="s">
        <v>6</v>
      </c>
      <c r="D141" t="s">
        <v>142</v>
      </c>
      <c r="E141" s="5" t="s">
        <v>31</v>
      </c>
      <c r="F141" t="s">
        <v>21</v>
      </c>
      <c r="G141" t="str">
        <f>_xlfn.CONCAT(Canonical[[#This Row],[Column1.id]:[Column1.discipline]])</f>
        <v>e_4x50_m_relevo_combinado_junior_f4x50 m Relevo CombinadoFJúnior4x50Relevo Combinado</v>
      </c>
      <c r="H141">
        <f>COUNTIF(Canonical[Column1.id],Canonical[[#This Row],[Column1.id]])</f>
        <v>1</v>
      </c>
    </row>
    <row r="142" spans="1:8" x14ac:dyDescent="0.25">
      <c r="A142" t="s">
        <v>225</v>
      </c>
      <c r="B142" t="s">
        <v>36</v>
      </c>
      <c r="C142" t="s">
        <v>8</v>
      </c>
      <c r="D142" t="s">
        <v>142</v>
      </c>
      <c r="E142" s="5" t="s">
        <v>31</v>
      </c>
      <c r="F142" t="s">
        <v>21</v>
      </c>
      <c r="G142" t="str">
        <f>_xlfn.CONCAT(Canonical[[#This Row],[Column1.id]:[Column1.discipline]])</f>
        <v>e_4x50_m_relevo_combinado_junior_m4x50 m Relevo CombinadoMJúnior4x50Relevo Combinado</v>
      </c>
      <c r="H142">
        <f>COUNTIF(Canonical[Column1.id],Canonical[[#This Row],[Column1.id]])</f>
        <v>1</v>
      </c>
    </row>
    <row r="143" spans="1:8" x14ac:dyDescent="0.25">
      <c r="A143" t="s">
        <v>117</v>
      </c>
      <c r="B143" t="s">
        <v>36</v>
      </c>
      <c r="C143" t="s">
        <v>6</v>
      </c>
      <c r="D143" t="s">
        <v>113</v>
      </c>
      <c r="E143" s="5" t="s">
        <v>31</v>
      </c>
      <c r="F143" t="s">
        <v>21</v>
      </c>
      <c r="G143" t="str">
        <f>_xlfn.CONCAT(Canonical[[#This Row],[Column1.id]:[Column1.discipline]])</f>
        <v>e_4x50_m_relevo_combinado_master_r4_120_f4x50 m Relevo CombinadoFMáster R4 +1204x50Relevo Combinado</v>
      </c>
      <c r="H143">
        <f>COUNTIF(Canonical[Column1.id],Canonical[[#This Row],[Column1.id]])</f>
        <v>1</v>
      </c>
    </row>
    <row r="144" spans="1:8" x14ac:dyDescent="0.25">
      <c r="A144" t="s">
        <v>118</v>
      </c>
      <c r="B144" t="s">
        <v>36</v>
      </c>
      <c r="C144" t="s">
        <v>8</v>
      </c>
      <c r="D144" t="s">
        <v>113</v>
      </c>
      <c r="E144" s="5" t="s">
        <v>31</v>
      </c>
      <c r="F144" t="s">
        <v>21</v>
      </c>
      <c r="G144" t="str">
        <f>_xlfn.CONCAT(Canonical[[#This Row],[Column1.id]:[Column1.discipline]])</f>
        <v>e_4x50_m_relevo_combinado_master_r4_120_m4x50 m Relevo CombinadoMMáster R4 +1204x50Relevo Combinado</v>
      </c>
      <c r="H144">
        <f>COUNTIF(Canonical[Column1.id],Canonical[[#This Row],[Column1.id]])</f>
        <v>1</v>
      </c>
    </row>
    <row r="145" spans="1:8" x14ac:dyDescent="0.25">
      <c r="A145" t="s">
        <v>340</v>
      </c>
      <c r="B145" t="s">
        <v>36</v>
      </c>
      <c r="C145" t="s">
        <v>6</v>
      </c>
      <c r="D145" t="s">
        <v>33</v>
      </c>
      <c r="E145" s="5" t="s">
        <v>31</v>
      </c>
      <c r="F145" t="s">
        <v>21</v>
      </c>
      <c r="G145" t="str">
        <f>_xlfn.CONCAT(Canonical[[#This Row],[Column1.id]:[Column1.discipline]])</f>
        <v>e_4x50_m_relevo_combinado_master_r4_140_f4x50 m Relevo CombinadoFMáster R4 +1404x50Relevo Combinado</v>
      </c>
      <c r="H145">
        <f>COUNTIF(Canonical[Column1.id],Canonical[[#This Row],[Column1.id]])</f>
        <v>1</v>
      </c>
    </row>
    <row r="146" spans="1:8" x14ac:dyDescent="0.25">
      <c r="A146" t="s">
        <v>120</v>
      </c>
      <c r="B146" t="s">
        <v>36</v>
      </c>
      <c r="C146" t="s">
        <v>8</v>
      </c>
      <c r="D146" t="s">
        <v>33</v>
      </c>
      <c r="E146" s="5" t="s">
        <v>31</v>
      </c>
      <c r="F146" t="s">
        <v>21</v>
      </c>
      <c r="G146" t="str">
        <f>_xlfn.CONCAT(Canonical[[#This Row],[Column1.id]:[Column1.discipline]])</f>
        <v>e_4x50_m_relevo_combinado_master_r4_140_m4x50 m Relevo CombinadoMMáster R4 +1404x50Relevo Combinado</v>
      </c>
      <c r="H146">
        <f>COUNTIF(Canonical[Column1.id],Canonical[[#This Row],[Column1.id]])</f>
        <v>1</v>
      </c>
    </row>
    <row r="147" spans="1:8" x14ac:dyDescent="0.25">
      <c r="A147" t="s">
        <v>92</v>
      </c>
      <c r="B147" t="s">
        <v>36</v>
      </c>
      <c r="C147" t="s">
        <v>6</v>
      </c>
      <c r="D147" t="s">
        <v>30</v>
      </c>
      <c r="E147" s="5" t="s">
        <v>31</v>
      </c>
      <c r="F147" t="s">
        <v>21</v>
      </c>
      <c r="G147" t="str">
        <f>_xlfn.CONCAT(Canonical[[#This Row],[Column1.id]:[Column1.discipline]])</f>
        <v>e_4x50_m_relevo_combinado_master_r4_170_f4x50 m Relevo CombinadoFMáster R4 +1704x50Relevo Combinado</v>
      </c>
      <c r="H147">
        <f>COUNTIF(Canonical[Column1.id],Canonical[[#This Row],[Column1.id]])</f>
        <v>1</v>
      </c>
    </row>
    <row r="148" spans="1:8" x14ac:dyDescent="0.25">
      <c r="A148" t="s">
        <v>58</v>
      </c>
      <c r="B148" t="s">
        <v>36</v>
      </c>
      <c r="C148" t="s">
        <v>8</v>
      </c>
      <c r="D148" t="s">
        <v>30</v>
      </c>
      <c r="E148" s="5" t="s">
        <v>31</v>
      </c>
      <c r="F148" t="s">
        <v>21</v>
      </c>
      <c r="G148" t="str">
        <f>_xlfn.CONCAT(Canonical[[#This Row],[Column1.id]:[Column1.discipline]])</f>
        <v>e_4x50_m_relevo_combinado_master_r4_170_m4x50 m Relevo CombinadoMMáster R4 +1704x50Relevo Combinado</v>
      </c>
      <c r="H148">
        <f>COUNTIF(Canonical[Column1.id],Canonical[[#This Row],[Column1.id]])</f>
        <v>1</v>
      </c>
    </row>
    <row r="149" spans="1:8" x14ac:dyDescent="0.25">
      <c r="A149" t="s">
        <v>119</v>
      </c>
      <c r="B149" t="s">
        <v>36</v>
      </c>
      <c r="C149" t="s">
        <v>6</v>
      </c>
      <c r="D149" t="s">
        <v>32</v>
      </c>
      <c r="E149" s="5" t="s">
        <v>31</v>
      </c>
      <c r="F149" t="s">
        <v>21</v>
      </c>
      <c r="G149" t="str">
        <f>_xlfn.CONCAT(Canonical[[#This Row],[Column1.id]:[Column1.discipline]])</f>
        <v>e_4x50_m_relevo_combinado_master_r4_200_f4x50 m Relevo CombinadoFMáster R4 +2004x50Relevo Combinado</v>
      </c>
      <c r="H149">
        <f>COUNTIF(Canonical[Column1.id],Canonical[[#This Row],[Column1.id]])</f>
        <v>1</v>
      </c>
    </row>
    <row r="150" spans="1:8" x14ac:dyDescent="0.25">
      <c r="A150" t="s">
        <v>121</v>
      </c>
      <c r="B150" t="s">
        <v>36</v>
      </c>
      <c r="C150" t="s">
        <v>8</v>
      </c>
      <c r="D150" t="s">
        <v>32</v>
      </c>
      <c r="E150" s="5" t="s">
        <v>31</v>
      </c>
      <c r="F150" t="s">
        <v>21</v>
      </c>
      <c r="G150" t="str">
        <f>_xlfn.CONCAT(Canonical[[#This Row],[Column1.id]:[Column1.discipline]])</f>
        <v>e_4x50_m_relevo_combinado_master_r4_200_m4x50 m Relevo CombinadoMMáster R4 +2004x50Relevo Combinado</v>
      </c>
      <c r="H150">
        <f>COUNTIF(Canonical[Column1.id],Canonical[[#This Row],[Column1.id]])</f>
        <v>1</v>
      </c>
    </row>
    <row r="151" spans="1:8" x14ac:dyDescent="0.25">
      <c r="A151" t="s">
        <v>122</v>
      </c>
      <c r="B151" t="s">
        <v>36</v>
      </c>
      <c r="C151" t="s">
        <v>8</v>
      </c>
      <c r="D151" t="s">
        <v>34</v>
      </c>
      <c r="E151" s="5" t="s">
        <v>31</v>
      </c>
      <c r="F151" t="s">
        <v>21</v>
      </c>
      <c r="G151" t="str">
        <f>_xlfn.CONCAT(Canonical[[#This Row],[Column1.id]:[Column1.discipline]])</f>
        <v>e_4x50_m_relevo_combinado_master_r4_230_m4x50 m Relevo CombinadoMMáster R4 +2304x50Relevo Combinado</v>
      </c>
      <c r="H151">
        <f>COUNTIF(Canonical[Column1.id],Canonical[[#This Row],[Column1.id]])</f>
        <v>1</v>
      </c>
    </row>
    <row r="152" spans="1:8" x14ac:dyDescent="0.25">
      <c r="A152" t="s">
        <v>303</v>
      </c>
      <c r="B152" t="s">
        <v>304</v>
      </c>
      <c r="C152" t="s">
        <v>8</v>
      </c>
      <c r="D152" t="s">
        <v>137</v>
      </c>
      <c r="E152" s="5" t="s">
        <v>31</v>
      </c>
      <c r="F152" t="s">
        <v>305</v>
      </c>
      <c r="G152" t="str">
        <f>_xlfn.CONCAT(Canonical[[#This Row],[Column1.id]:[Column1.discipline]])</f>
        <v>e_4x50_m_relevo_natacion_con_aletas_cadete_m4x50 m Relevo Natación con AletasMCadete4x50Relevo Natación con Aletas</v>
      </c>
      <c r="H152">
        <f>COUNTIF(Canonical[Column1.id],Canonical[[#This Row],[Column1.id]])</f>
        <v>1</v>
      </c>
    </row>
    <row r="153" spans="1:8" x14ac:dyDescent="0.25">
      <c r="A153" t="s">
        <v>231</v>
      </c>
      <c r="B153" t="s">
        <v>29</v>
      </c>
      <c r="C153" t="s">
        <v>6</v>
      </c>
      <c r="D153" t="s">
        <v>144</v>
      </c>
      <c r="E153" s="5" t="s">
        <v>31</v>
      </c>
      <c r="F153" t="s">
        <v>19</v>
      </c>
      <c r="G153" t="str">
        <f>_xlfn.CONCAT(Canonical[[#This Row],[Column1.id]:[Column1.discipline]])</f>
        <v>e_4x50_m_relevo_natacion_con_obstaculos_absoluto_f4x50 m Relevo Natación con ObstáculosFAbsoluta4x50Relevo Natación con Obstáculos</v>
      </c>
      <c r="H153">
        <f>COUNTIF(Canonical[Column1.id],Canonical[[#This Row],[Column1.id]])</f>
        <v>1</v>
      </c>
    </row>
    <row r="154" spans="1:8" x14ac:dyDescent="0.25">
      <c r="A154" t="s">
        <v>230</v>
      </c>
      <c r="B154" t="s">
        <v>29</v>
      </c>
      <c r="C154" t="s">
        <v>8</v>
      </c>
      <c r="D154" t="s">
        <v>144</v>
      </c>
      <c r="E154" s="5" t="s">
        <v>31</v>
      </c>
      <c r="F154" t="s">
        <v>19</v>
      </c>
      <c r="G154" t="str">
        <f>_xlfn.CONCAT(Canonical[[#This Row],[Column1.id]:[Column1.discipline]])</f>
        <v>e_4x50_m_relevo_natacion_con_obstaculos_absoluto_m4x50 m Relevo Natación con ObstáculosMAbsoluta4x50Relevo Natación con Obstáculos</v>
      </c>
      <c r="H154">
        <f>COUNTIF(Canonical[Column1.id],Canonical[[#This Row],[Column1.id]])</f>
        <v>1</v>
      </c>
    </row>
    <row r="155" spans="1:8" x14ac:dyDescent="0.25">
      <c r="A155" t="s">
        <v>306</v>
      </c>
      <c r="B155" t="s">
        <v>29</v>
      </c>
      <c r="C155" t="s">
        <v>8</v>
      </c>
      <c r="D155" t="s">
        <v>137</v>
      </c>
      <c r="E155" s="5" t="s">
        <v>31</v>
      </c>
      <c r="F155" t="s">
        <v>19</v>
      </c>
      <c r="G155" t="str">
        <f>_xlfn.CONCAT(Canonical[[#This Row],[Column1.id]:[Column1.discipline]])</f>
        <v>e_4x50_m_relevo_natacion_con_obstaculos_cadete_m4x50 m Relevo Natación con ObstáculosMCadete4x50Relevo Natación con Obstáculos</v>
      </c>
      <c r="H155">
        <f>COUNTIF(Canonical[Column1.id],Canonical[[#This Row],[Column1.id]])</f>
        <v>1</v>
      </c>
    </row>
    <row r="156" spans="1:8" x14ac:dyDescent="0.25">
      <c r="A156" t="s">
        <v>307</v>
      </c>
      <c r="B156" t="s">
        <v>29</v>
      </c>
      <c r="C156" t="s">
        <v>6</v>
      </c>
      <c r="D156" t="s">
        <v>142</v>
      </c>
      <c r="E156" s="5" t="s">
        <v>31</v>
      </c>
      <c r="F156" t="s">
        <v>19</v>
      </c>
      <c r="G156" t="str">
        <f>_xlfn.CONCAT(Canonical[[#This Row],[Column1.id]:[Column1.discipline]])</f>
        <v>e_4x50_m_relevo_natacion_con_obstaculos_junior_f4x50 m Relevo Natación con ObstáculosFJúnior4x50Relevo Natación con Obstáculos</v>
      </c>
      <c r="H156">
        <f>COUNTIF(Canonical[Column1.id],Canonical[[#This Row],[Column1.id]])</f>
        <v>1</v>
      </c>
    </row>
    <row r="157" spans="1:8" x14ac:dyDescent="0.25">
      <c r="A157" t="s">
        <v>229</v>
      </c>
      <c r="B157" t="s">
        <v>29</v>
      </c>
      <c r="C157" t="s">
        <v>8</v>
      </c>
      <c r="D157" t="s">
        <v>142</v>
      </c>
      <c r="E157" s="5" t="s">
        <v>31</v>
      </c>
      <c r="F157" t="s">
        <v>19</v>
      </c>
      <c r="G157" t="str">
        <f>_xlfn.CONCAT(Canonical[[#This Row],[Column1.id]:[Column1.discipline]])</f>
        <v>e_4x50_m_relevo_natacion_con_obstaculos_junior_m4x50 m Relevo Natación con ObstáculosMJúnior4x50Relevo Natación con Obstáculos</v>
      </c>
      <c r="H157">
        <f>COUNTIF(Canonical[Column1.id],Canonical[[#This Row],[Column1.id]])</f>
        <v>1</v>
      </c>
    </row>
    <row r="158" spans="1:8" x14ac:dyDescent="0.25">
      <c r="A158" t="s">
        <v>126</v>
      </c>
      <c r="B158" t="s">
        <v>29</v>
      </c>
      <c r="C158" t="s">
        <v>6</v>
      </c>
      <c r="D158" t="s">
        <v>113</v>
      </c>
      <c r="E158" s="5" t="s">
        <v>31</v>
      </c>
      <c r="F158" t="s">
        <v>19</v>
      </c>
      <c r="G158" t="str">
        <f>_xlfn.CONCAT(Canonical[[#This Row],[Column1.id]:[Column1.discipline]])</f>
        <v>e_4x50_m_relevo_natacion_con_obstaculos_master_r4_120_f4x50 m Relevo Natación con ObstáculosFMáster R4 +1204x50Relevo Natación con Obstáculos</v>
      </c>
      <c r="H158">
        <f>COUNTIF(Canonical[Column1.id],Canonical[[#This Row],[Column1.id]])</f>
        <v>1</v>
      </c>
    </row>
    <row r="159" spans="1:8" x14ac:dyDescent="0.25">
      <c r="A159" t="s">
        <v>124</v>
      </c>
      <c r="B159" t="s">
        <v>29</v>
      </c>
      <c r="C159" t="s">
        <v>8</v>
      </c>
      <c r="D159" t="s">
        <v>113</v>
      </c>
      <c r="E159" s="5" t="s">
        <v>31</v>
      </c>
      <c r="F159" t="s">
        <v>19</v>
      </c>
      <c r="G159" t="str">
        <f>_xlfn.CONCAT(Canonical[[#This Row],[Column1.id]:[Column1.discipline]])</f>
        <v>e_4x50_m_relevo_natacion_con_obstaculos_master_r4_120_m4x50 m Relevo Natación con ObstáculosMMáster R4 +1204x50Relevo Natación con Obstáculos</v>
      </c>
      <c r="H159">
        <f>COUNTIF(Canonical[Column1.id],Canonical[[#This Row],[Column1.id]])</f>
        <v>1</v>
      </c>
    </row>
    <row r="160" spans="1:8" x14ac:dyDescent="0.25">
      <c r="A160" t="s">
        <v>341</v>
      </c>
      <c r="B160" t="s">
        <v>29</v>
      </c>
      <c r="C160" t="s">
        <v>6</v>
      </c>
      <c r="D160" t="s">
        <v>33</v>
      </c>
      <c r="E160" s="5" t="s">
        <v>31</v>
      </c>
      <c r="F160" t="s">
        <v>19</v>
      </c>
      <c r="G160" t="str">
        <f>_xlfn.CONCAT(Canonical[[#This Row],[Column1.id]:[Column1.discipline]])</f>
        <v>e_4x50_m_relevo_natacion_con_obstaculos_master_r4_140_f4x50 m Relevo Natación con ObstáculosFMáster R4 +1404x50Relevo Natación con Obstáculos</v>
      </c>
      <c r="H160">
        <f>COUNTIF(Canonical[Column1.id],Canonical[[#This Row],[Column1.id]])</f>
        <v>1</v>
      </c>
    </row>
    <row r="161" spans="1:8" x14ac:dyDescent="0.25">
      <c r="A161" t="s">
        <v>127</v>
      </c>
      <c r="B161" t="s">
        <v>29</v>
      </c>
      <c r="C161" t="s">
        <v>8</v>
      </c>
      <c r="D161" t="s">
        <v>33</v>
      </c>
      <c r="E161" s="5" t="s">
        <v>31</v>
      </c>
      <c r="F161" t="s">
        <v>19</v>
      </c>
      <c r="G161" t="str">
        <f>_xlfn.CONCAT(Canonical[[#This Row],[Column1.id]:[Column1.discipline]])</f>
        <v>e_4x50_m_relevo_natacion_con_obstaculos_master_r4_140_m4x50 m Relevo Natación con ObstáculosMMáster R4 +1404x50Relevo Natación con Obstáculos</v>
      </c>
      <c r="H161">
        <f>COUNTIF(Canonical[Column1.id],Canonical[[#This Row],[Column1.id]])</f>
        <v>1</v>
      </c>
    </row>
    <row r="162" spans="1:8" x14ac:dyDescent="0.25">
      <c r="A162" t="s">
        <v>288</v>
      </c>
      <c r="B162" t="s">
        <v>29</v>
      </c>
      <c r="C162" t="s">
        <v>6</v>
      </c>
      <c r="D162" t="s">
        <v>30</v>
      </c>
      <c r="E162" s="5" t="s">
        <v>31</v>
      </c>
      <c r="F162" t="s">
        <v>19</v>
      </c>
      <c r="G162" t="str">
        <f>_xlfn.CONCAT(Canonical[[#This Row],[Column1.id]:[Column1.discipline]])</f>
        <v>e_4x50_m_relevo_natacion_con_obstaculos_master_r4_170_f4x50 m Relevo Natación con ObstáculosFMáster R4 +1704x50Relevo Natación con Obstáculos</v>
      </c>
      <c r="H162">
        <f>COUNTIF(Canonical[Column1.id],Canonical[[#This Row],[Column1.id]])</f>
        <v>1</v>
      </c>
    </row>
    <row r="163" spans="1:8" x14ac:dyDescent="0.25">
      <c r="A163" t="s">
        <v>93</v>
      </c>
      <c r="B163" t="s">
        <v>29</v>
      </c>
      <c r="C163" t="s">
        <v>8</v>
      </c>
      <c r="D163" t="s">
        <v>30</v>
      </c>
      <c r="E163" s="5" t="s">
        <v>31</v>
      </c>
      <c r="F163" t="s">
        <v>19</v>
      </c>
      <c r="G163" t="str">
        <f>_xlfn.CONCAT(Canonical[[#This Row],[Column1.id]:[Column1.discipline]])</f>
        <v>e_4x50_m_relevo_natacion_con_obstaculos_master_r4_170_m4x50 m Relevo Natación con ObstáculosMMáster R4 +1704x50Relevo Natación con Obstáculos</v>
      </c>
      <c r="H163">
        <f>COUNTIF(Canonical[Column1.id],Canonical[[#This Row],[Column1.id]])</f>
        <v>1</v>
      </c>
    </row>
    <row r="164" spans="1:8" x14ac:dyDescent="0.25">
      <c r="A164" t="s">
        <v>125</v>
      </c>
      <c r="B164" t="s">
        <v>29</v>
      </c>
      <c r="C164" t="s">
        <v>6</v>
      </c>
      <c r="D164" t="s">
        <v>32</v>
      </c>
      <c r="E164" s="5" t="s">
        <v>31</v>
      </c>
      <c r="F164" t="s">
        <v>19</v>
      </c>
      <c r="G164" t="str">
        <f>_xlfn.CONCAT(Canonical[[#This Row],[Column1.id]:[Column1.discipline]])</f>
        <v>e_4x50_m_relevo_natacion_con_obstaculos_master_r4_200_f4x50 m Relevo Natación con ObstáculosFMáster R4 +2004x50Relevo Natación con Obstáculos</v>
      </c>
      <c r="H164">
        <f>COUNTIF(Canonical[Column1.id],Canonical[[#This Row],[Column1.id]])</f>
        <v>1</v>
      </c>
    </row>
    <row r="165" spans="1:8" x14ac:dyDescent="0.25">
      <c r="A165" t="s">
        <v>123</v>
      </c>
      <c r="B165" t="s">
        <v>29</v>
      </c>
      <c r="C165" t="s">
        <v>8</v>
      </c>
      <c r="D165" t="s">
        <v>32</v>
      </c>
      <c r="E165" s="5" t="s">
        <v>31</v>
      </c>
      <c r="F165" t="s">
        <v>19</v>
      </c>
      <c r="G165" t="str">
        <f>_xlfn.CONCAT(Canonical[[#This Row],[Column1.id]:[Column1.discipline]])</f>
        <v>e_4x50_m_relevo_natacion_con_obstaculos_master_r4_200_m4x50 m Relevo Natación con ObstáculosMMáster R4 +2004x50Relevo Natación con Obstáculos</v>
      </c>
      <c r="H165">
        <f>COUNTIF(Canonical[Column1.id],Canonical[[#This Row],[Column1.id]])</f>
        <v>1</v>
      </c>
    </row>
    <row r="166" spans="1:8" x14ac:dyDescent="0.25">
      <c r="A166" t="s">
        <v>59</v>
      </c>
      <c r="B166" t="s">
        <v>29</v>
      </c>
      <c r="C166" t="s">
        <v>8</v>
      </c>
      <c r="D166" t="s">
        <v>34</v>
      </c>
      <c r="E166" s="5" t="s">
        <v>31</v>
      </c>
      <c r="F166" t="s">
        <v>19</v>
      </c>
      <c r="G166" t="str">
        <f>_xlfn.CONCAT(Canonical[[#This Row],[Column1.id]:[Column1.discipline]])</f>
        <v>e_4x50_m_relevo_natacion_con_obstaculos_master_r4_230_m4x50 m Relevo Natación con ObstáculosMMáster R4 +2304x50Relevo Natación con Obstáculos</v>
      </c>
      <c r="H166">
        <f>COUNTIF(Canonical[Column1.id],Canonical[[#This Row],[Column1.id]])</f>
        <v>1</v>
      </c>
    </row>
    <row r="167" spans="1:8" x14ac:dyDescent="0.25">
      <c r="A167" t="s">
        <v>234</v>
      </c>
      <c r="B167" t="s">
        <v>233</v>
      </c>
      <c r="C167" t="s">
        <v>211</v>
      </c>
      <c r="D167" t="s">
        <v>144</v>
      </c>
      <c r="E167" s="5" t="s">
        <v>31</v>
      </c>
      <c r="F167" t="s">
        <v>224</v>
      </c>
      <c r="G167" t="str">
        <f>_xlfn.CONCAT(Canonical[[#This Row],[Column1.id]:[Column1.discipline]])</f>
        <v>e_4x50_m_relevo_socorrista_absoluto_x4x50 m Relevo SocorristaXAbsoluta4x50Relevo Socorrista</v>
      </c>
      <c r="H167">
        <f>COUNTIF(Canonical[Column1.id],Canonical[[#This Row],[Column1.id]])</f>
        <v>1</v>
      </c>
    </row>
    <row r="168" spans="1:8" x14ac:dyDescent="0.25">
      <c r="A168" t="s">
        <v>232</v>
      </c>
      <c r="B168" t="s">
        <v>233</v>
      </c>
      <c r="C168" t="s">
        <v>211</v>
      </c>
      <c r="D168" t="s">
        <v>142</v>
      </c>
      <c r="E168" s="5" t="s">
        <v>31</v>
      </c>
      <c r="F168" t="s">
        <v>224</v>
      </c>
      <c r="G168" t="str">
        <f>_xlfn.CONCAT(Canonical[[#This Row],[Column1.id]:[Column1.discipline]])</f>
        <v>e_4x50_m_relevo_socorrista_junior_x4x50 m Relevo SocorristaXJúnior4x50Relevo Socorrista</v>
      </c>
      <c r="H168">
        <f>COUNTIF(Canonical[Column1.id],Canonical[[#This Row],[Column1.id]])</f>
        <v>1</v>
      </c>
    </row>
    <row r="169" spans="1:8" x14ac:dyDescent="0.25">
      <c r="A169" t="s">
        <v>349</v>
      </c>
      <c r="B169" t="s">
        <v>233</v>
      </c>
      <c r="C169" t="s">
        <v>211</v>
      </c>
      <c r="D169" t="s">
        <v>140</v>
      </c>
      <c r="E169" s="5" t="s">
        <v>31</v>
      </c>
      <c r="F169" t="s">
        <v>224</v>
      </c>
      <c r="G169" t="str">
        <f>_xlfn.CONCAT(Canonical[[#This Row],[Column1.id]:[Column1.discipline]])</f>
        <v>e_4x50_m_relevo_socorrista_juvenil_x4x50 m Relevo SocorristaXJuvenil4x50Relevo Socorrista</v>
      </c>
      <c r="H169">
        <f>COUNTIF(Canonical[Column1.id],Canonical[[#This Row],[Column1.id]])</f>
        <v>1</v>
      </c>
    </row>
    <row r="170" spans="1:8" x14ac:dyDescent="0.25">
      <c r="A170" t="s">
        <v>239</v>
      </c>
      <c r="B170" t="s">
        <v>236</v>
      </c>
      <c r="C170" t="s">
        <v>6</v>
      </c>
      <c r="D170" t="s">
        <v>144</v>
      </c>
      <c r="E170" s="5" t="s">
        <v>38</v>
      </c>
      <c r="F170" t="s">
        <v>138</v>
      </c>
      <c r="G170" t="str">
        <f>_xlfn.CONCAT(Canonical[[#This Row],[Column1.id]:[Column1.discipline]])</f>
        <v>e_50_m_combinada_de_salvamento_absoluto_f50 m Combinada de SalvamentoFAbsoluta50Combinada de Salvamento</v>
      </c>
      <c r="H170">
        <f>COUNTIF(Canonical[Column1.id],Canonical[[#This Row],[Column1.id]])</f>
        <v>1</v>
      </c>
    </row>
    <row r="171" spans="1:8" x14ac:dyDescent="0.25">
      <c r="A171" t="s">
        <v>237</v>
      </c>
      <c r="B171" t="s">
        <v>236</v>
      </c>
      <c r="C171" t="s">
        <v>8</v>
      </c>
      <c r="D171" t="s">
        <v>144</v>
      </c>
      <c r="E171" s="5" t="s">
        <v>38</v>
      </c>
      <c r="F171" t="s">
        <v>138</v>
      </c>
      <c r="G171" t="str">
        <f>_xlfn.CONCAT(Canonical[[#This Row],[Column1.id]:[Column1.discipline]])</f>
        <v>e_50_m_combinada_de_salvamento_absoluto_m50 m Combinada de SalvamentoMAbsoluta50Combinada de Salvamento</v>
      </c>
      <c r="H171">
        <f>COUNTIF(Canonical[Column1.id],Canonical[[#This Row],[Column1.id]])</f>
        <v>1</v>
      </c>
    </row>
    <row r="172" spans="1:8" x14ac:dyDescent="0.25">
      <c r="A172" t="s">
        <v>343</v>
      </c>
      <c r="B172" t="s">
        <v>236</v>
      </c>
      <c r="C172" t="s">
        <v>6</v>
      </c>
      <c r="D172" t="s">
        <v>142</v>
      </c>
      <c r="E172" s="5" t="s">
        <v>38</v>
      </c>
      <c r="F172" t="s">
        <v>138</v>
      </c>
      <c r="G172" t="str">
        <f>_xlfn.CONCAT(Canonical[[#This Row],[Column1.id]:[Column1.discipline]])</f>
        <v>e_50_m_combinada_de_salvamento_junior_f50 m Combinada de SalvamentoFJúnior50Combinada de Salvamento</v>
      </c>
      <c r="H172">
        <f>COUNTIF(Canonical[Column1.id],Canonical[[#This Row],[Column1.id]])</f>
        <v>1</v>
      </c>
    </row>
    <row r="173" spans="1:8" x14ac:dyDescent="0.25">
      <c r="A173" t="s">
        <v>238</v>
      </c>
      <c r="B173" t="s">
        <v>236</v>
      </c>
      <c r="C173" t="s">
        <v>8</v>
      </c>
      <c r="D173" t="s">
        <v>142</v>
      </c>
      <c r="E173" s="5" t="s">
        <v>38</v>
      </c>
      <c r="F173" t="s">
        <v>138</v>
      </c>
      <c r="G173" t="str">
        <f>_xlfn.CONCAT(Canonical[[#This Row],[Column1.id]:[Column1.discipline]])</f>
        <v>e_50_m_combinada_de_salvamento_junior_m50 m Combinada de SalvamentoMJúnior50Combinada de Salvamento</v>
      </c>
      <c r="H173">
        <f>COUNTIF(Canonical[Column1.id],Canonical[[#This Row],[Column1.id]])</f>
        <v>1</v>
      </c>
    </row>
    <row r="174" spans="1:8" x14ac:dyDescent="0.25">
      <c r="A174" t="s">
        <v>235</v>
      </c>
      <c r="B174" t="s">
        <v>236</v>
      </c>
      <c r="C174" t="s">
        <v>6</v>
      </c>
      <c r="D174" t="s">
        <v>140</v>
      </c>
      <c r="E174" s="5" t="s">
        <v>38</v>
      </c>
      <c r="F174" t="s">
        <v>138</v>
      </c>
      <c r="G174" t="str">
        <f>_xlfn.CONCAT(Canonical[[#This Row],[Column1.id]:[Column1.discipline]])</f>
        <v>e_50_m_combinada_de_salvamento_juvenil_f50 m Combinada de SalvamentoFJuvenil50Combinada de Salvamento</v>
      </c>
      <c r="H174">
        <f>COUNTIF(Canonical[Column1.id],Canonical[[#This Row],[Column1.id]])</f>
        <v>1</v>
      </c>
    </row>
    <row r="175" spans="1:8" x14ac:dyDescent="0.25">
      <c r="A175" t="s">
        <v>342</v>
      </c>
      <c r="B175" t="s">
        <v>236</v>
      </c>
      <c r="C175" t="s">
        <v>8</v>
      </c>
      <c r="D175" t="s">
        <v>140</v>
      </c>
      <c r="E175" s="5" t="s">
        <v>38</v>
      </c>
      <c r="F175" t="s">
        <v>138</v>
      </c>
      <c r="G175" t="str">
        <f>_xlfn.CONCAT(Canonical[[#This Row],[Column1.id]:[Column1.discipline]])</f>
        <v>e_50_m_combinada_de_salvamento_juvenil_m50 m Combinada de SalvamentoMJuvenil50Combinada de Salvamento</v>
      </c>
      <c r="H175">
        <f>COUNTIF(Canonical[Column1.id],Canonical[[#This Row],[Column1.id]])</f>
        <v>1</v>
      </c>
    </row>
    <row r="176" spans="1:8" x14ac:dyDescent="0.25">
      <c r="A176" t="s">
        <v>246</v>
      </c>
      <c r="B176" t="s">
        <v>241</v>
      </c>
      <c r="C176" t="s">
        <v>6</v>
      </c>
      <c r="D176" t="s">
        <v>144</v>
      </c>
      <c r="E176" s="5" t="s">
        <v>38</v>
      </c>
      <c r="F176" t="s">
        <v>7</v>
      </c>
      <c r="G176" t="str">
        <f>_xlfn.CONCAT(Canonical[[#This Row],[Column1.id]:[Column1.discipline]])</f>
        <v>e_50_m_natacion_con_obstaculos_absoluto_f50 m Natación con ObstáculosFAbsoluta50Natación con Obstáculos</v>
      </c>
      <c r="H176">
        <f>COUNTIF(Canonical[Column1.id],Canonical[[#This Row],[Column1.id]])</f>
        <v>1</v>
      </c>
    </row>
    <row r="177" spans="1:8" x14ac:dyDescent="0.25">
      <c r="A177" t="s">
        <v>240</v>
      </c>
      <c r="B177" t="s">
        <v>241</v>
      </c>
      <c r="C177" t="s">
        <v>8</v>
      </c>
      <c r="D177" t="s">
        <v>144</v>
      </c>
      <c r="E177" s="5" t="s">
        <v>38</v>
      </c>
      <c r="F177" t="s">
        <v>7</v>
      </c>
      <c r="G177" t="str">
        <f>_xlfn.CONCAT(Canonical[[#This Row],[Column1.id]:[Column1.discipline]])</f>
        <v>e_50_m_natacion_con_obstaculos_absoluto_m50 m Natación con ObstáculosMAbsoluta50Natación con Obstáculos</v>
      </c>
      <c r="H177">
        <f>COUNTIF(Canonical[Column1.id],Canonical[[#This Row],[Column1.id]])</f>
        <v>1</v>
      </c>
    </row>
    <row r="178" spans="1:8" x14ac:dyDescent="0.25">
      <c r="A178" t="s">
        <v>244</v>
      </c>
      <c r="B178" t="s">
        <v>241</v>
      </c>
      <c r="C178" t="s">
        <v>6</v>
      </c>
      <c r="D178" t="s">
        <v>142</v>
      </c>
      <c r="E178" s="5" t="s">
        <v>38</v>
      </c>
      <c r="F178" t="s">
        <v>7</v>
      </c>
      <c r="G178" t="str">
        <f>_xlfn.CONCAT(Canonical[[#This Row],[Column1.id]:[Column1.discipline]])</f>
        <v>e_50_m_natacion_con_obstaculos_junior_f50 m Natación con ObstáculosFJúnior50Natación con Obstáculos</v>
      </c>
      <c r="H178">
        <f>COUNTIF(Canonical[Column1.id],Canonical[[#This Row],[Column1.id]])</f>
        <v>1</v>
      </c>
    </row>
    <row r="179" spans="1:8" x14ac:dyDescent="0.25">
      <c r="A179" t="s">
        <v>242</v>
      </c>
      <c r="B179" t="s">
        <v>241</v>
      </c>
      <c r="C179" t="s">
        <v>8</v>
      </c>
      <c r="D179" t="s">
        <v>142</v>
      </c>
      <c r="E179" s="5" t="s">
        <v>38</v>
      </c>
      <c r="F179" t="s">
        <v>7</v>
      </c>
      <c r="G179" t="str">
        <f>_xlfn.CONCAT(Canonical[[#This Row],[Column1.id]:[Column1.discipline]])</f>
        <v>e_50_m_natacion_con_obstaculos_junior_m50 m Natación con ObstáculosMJúnior50Natación con Obstáculos</v>
      </c>
      <c r="H179">
        <f>COUNTIF(Canonical[Column1.id],Canonical[[#This Row],[Column1.id]])</f>
        <v>1</v>
      </c>
    </row>
    <row r="180" spans="1:8" x14ac:dyDescent="0.25">
      <c r="A180" t="s">
        <v>245</v>
      </c>
      <c r="B180" t="s">
        <v>241</v>
      </c>
      <c r="C180" t="s">
        <v>6</v>
      </c>
      <c r="D180" t="s">
        <v>140</v>
      </c>
      <c r="E180" s="5" t="s">
        <v>38</v>
      </c>
      <c r="F180" t="s">
        <v>7</v>
      </c>
      <c r="G180" t="str">
        <f>_xlfn.CONCAT(Canonical[[#This Row],[Column1.id]:[Column1.discipline]])</f>
        <v>e_50_m_natacion_con_obstaculos_juvenil_f50 m Natación con ObstáculosFJuvenil50Natación con Obstáculos</v>
      </c>
      <c r="H180">
        <f>COUNTIF(Canonical[Column1.id],Canonical[[#This Row],[Column1.id]])</f>
        <v>1</v>
      </c>
    </row>
    <row r="181" spans="1:8" x14ac:dyDescent="0.25">
      <c r="A181" t="s">
        <v>243</v>
      </c>
      <c r="B181" t="s">
        <v>241</v>
      </c>
      <c r="C181" t="s">
        <v>8</v>
      </c>
      <c r="D181" t="s">
        <v>140</v>
      </c>
      <c r="E181" s="5" t="s">
        <v>38</v>
      </c>
      <c r="F181" t="s">
        <v>7</v>
      </c>
      <c r="G181" t="str">
        <f>_xlfn.CONCAT(Canonical[[#This Row],[Column1.id]:[Column1.discipline]])</f>
        <v>e_50_m_natacion_con_obstaculos_juvenil_m50 m Natación con ObstáculosMJuvenil50Natación con Obstáculos</v>
      </c>
      <c r="H181">
        <f>COUNTIF(Canonical[Column1.id],Canonical[[#This Row],[Column1.id]])</f>
        <v>1</v>
      </c>
    </row>
    <row r="182" spans="1:8" x14ac:dyDescent="0.25">
      <c r="A182" t="s">
        <v>251</v>
      </c>
      <c r="B182" t="s">
        <v>14</v>
      </c>
      <c r="C182" t="s">
        <v>6</v>
      </c>
      <c r="D182" t="s">
        <v>144</v>
      </c>
      <c r="E182" s="5" t="s">
        <v>38</v>
      </c>
      <c r="F182" t="s">
        <v>10</v>
      </c>
      <c r="G182" t="str">
        <f>_xlfn.CONCAT(Canonical[[#This Row],[Column1.id]:[Column1.discipline]])</f>
        <v>e_50_m_remolque_de_maniqui_absoluto_f50 m Remolque de ManiquíFAbsoluta50Remolque de Maniquí</v>
      </c>
      <c r="H182">
        <f>COUNTIF(Canonical[Column1.id],Canonical[[#This Row],[Column1.id]])</f>
        <v>1</v>
      </c>
    </row>
    <row r="183" spans="1:8" x14ac:dyDescent="0.25">
      <c r="A183" t="s">
        <v>247</v>
      </c>
      <c r="B183" t="s">
        <v>14</v>
      </c>
      <c r="C183" t="s">
        <v>8</v>
      </c>
      <c r="D183" t="s">
        <v>144</v>
      </c>
      <c r="E183" s="5" t="s">
        <v>38</v>
      </c>
      <c r="F183" t="s">
        <v>10</v>
      </c>
      <c r="G183" t="str">
        <f>_xlfn.CONCAT(Canonical[[#This Row],[Column1.id]:[Column1.discipline]])</f>
        <v>e_50_m_remolque_de_maniqui_absoluto_m50 m Remolque de ManiquíMAbsoluta50Remolque de Maniquí</v>
      </c>
      <c r="H183">
        <f>COUNTIF(Canonical[Column1.id],Canonical[[#This Row],[Column1.id]])</f>
        <v>1</v>
      </c>
    </row>
    <row r="184" spans="1:8" x14ac:dyDescent="0.25">
      <c r="A184" t="s">
        <v>253</v>
      </c>
      <c r="B184" t="s">
        <v>14</v>
      </c>
      <c r="C184" t="s">
        <v>8</v>
      </c>
      <c r="D184" t="s">
        <v>137</v>
      </c>
      <c r="E184" s="5" t="s">
        <v>38</v>
      </c>
      <c r="F184" t="s">
        <v>10</v>
      </c>
      <c r="G184" t="str">
        <f>_xlfn.CONCAT(Canonical[[#This Row],[Column1.id]:[Column1.discipline]])</f>
        <v>e_50_m_remolque_de_maniqui_cadete_m50 m Remolque de ManiquíMCadete50Remolque de Maniquí</v>
      </c>
      <c r="H184">
        <f>COUNTIF(Canonical[Column1.id],Canonical[[#This Row],[Column1.id]])</f>
        <v>1</v>
      </c>
    </row>
    <row r="185" spans="1:8" x14ac:dyDescent="0.25">
      <c r="A185" t="s">
        <v>256</v>
      </c>
      <c r="B185" t="s">
        <v>257</v>
      </c>
      <c r="C185" t="s">
        <v>6</v>
      </c>
      <c r="D185" t="s">
        <v>144</v>
      </c>
      <c r="E185" s="5" t="s">
        <v>38</v>
      </c>
      <c r="F185" t="s">
        <v>11</v>
      </c>
      <c r="G185" t="str">
        <f>_xlfn.CONCAT(Canonical[[#This Row],[Column1.id]:[Column1.discipline]])</f>
        <v>e_50_m_remolque_de_maniqui_con_aletas_absoluto_f50 m Remolque de Maniquí con AletasFAbsoluta50Remolque de Maniquí con Aletas</v>
      </c>
      <c r="H185">
        <f>COUNTIF(Canonical[Column1.id],Canonical[[#This Row],[Column1.id]])</f>
        <v>1</v>
      </c>
    </row>
    <row r="186" spans="1:8" x14ac:dyDescent="0.25">
      <c r="A186" t="s">
        <v>258</v>
      </c>
      <c r="B186" t="s">
        <v>257</v>
      </c>
      <c r="C186" t="s">
        <v>8</v>
      </c>
      <c r="D186" t="s">
        <v>144</v>
      </c>
      <c r="E186" s="5" t="s">
        <v>38</v>
      </c>
      <c r="F186" t="s">
        <v>11</v>
      </c>
      <c r="G186" t="str">
        <f>_xlfn.CONCAT(Canonical[[#This Row],[Column1.id]:[Column1.discipline]])</f>
        <v>e_50_m_remolque_de_maniqui_con_aletas_absoluto_m50 m Remolque de Maniquí con AletasMAbsoluta50Remolque de Maniquí con Aletas</v>
      </c>
      <c r="H186">
        <f>COUNTIF(Canonical[Column1.id],Canonical[[#This Row],[Column1.id]])</f>
        <v>1</v>
      </c>
    </row>
    <row r="187" spans="1:8" x14ac:dyDescent="0.25">
      <c r="A187" t="s">
        <v>261</v>
      </c>
      <c r="B187" t="s">
        <v>257</v>
      </c>
      <c r="C187" t="s">
        <v>6</v>
      </c>
      <c r="D187" t="s">
        <v>142</v>
      </c>
      <c r="E187" s="5" t="s">
        <v>38</v>
      </c>
      <c r="F187" t="s">
        <v>11</v>
      </c>
      <c r="G187" t="str">
        <f>_xlfn.CONCAT(Canonical[[#This Row],[Column1.id]:[Column1.discipline]])</f>
        <v>e_50_m_remolque_de_maniqui_con_aletas_junior_f50 m Remolque de Maniquí con AletasFJúnior50Remolque de Maniquí con Aletas</v>
      </c>
      <c r="H187">
        <f>COUNTIF(Canonical[Column1.id],Canonical[[#This Row],[Column1.id]])</f>
        <v>1</v>
      </c>
    </row>
    <row r="188" spans="1:8" x14ac:dyDescent="0.25">
      <c r="A188" t="s">
        <v>259</v>
      </c>
      <c r="B188" t="s">
        <v>257</v>
      </c>
      <c r="C188" t="s">
        <v>8</v>
      </c>
      <c r="D188" t="s">
        <v>142</v>
      </c>
      <c r="E188" s="5" t="s">
        <v>38</v>
      </c>
      <c r="F188" t="s">
        <v>11</v>
      </c>
      <c r="G188" t="str">
        <f>_xlfn.CONCAT(Canonical[[#This Row],[Column1.id]:[Column1.discipline]])</f>
        <v>e_50_m_remolque_de_maniqui_con_aletas_junior_m50 m Remolque de Maniquí con AletasMJúnior50Remolque de Maniquí con Aletas</v>
      </c>
      <c r="H188">
        <f>COUNTIF(Canonical[Column1.id],Canonical[[#This Row],[Column1.id]])</f>
        <v>1</v>
      </c>
    </row>
    <row r="189" spans="1:8" x14ac:dyDescent="0.25">
      <c r="A189" t="s">
        <v>262</v>
      </c>
      <c r="B189" t="s">
        <v>257</v>
      </c>
      <c r="C189" t="s">
        <v>6</v>
      </c>
      <c r="D189" t="s">
        <v>140</v>
      </c>
      <c r="E189" s="5" t="s">
        <v>38</v>
      </c>
      <c r="F189" t="s">
        <v>11</v>
      </c>
      <c r="G189" t="str">
        <f>_xlfn.CONCAT(Canonical[[#This Row],[Column1.id]:[Column1.discipline]])</f>
        <v>e_50_m_remolque_de_maniqui_con_aletas_juvenil_f50 m Remolque de Maniquí con AletasFJuvenil50Remolque de Maniquí con Aletas</v>
      </c>
      <c r="H189">
        <f>COUNTIF(Canonical[Column1.id],Canonical[[#This Row],[Column1.id]])</f>
        <v>1</v>
      </c>
    </row>
    <row r="190" spans="1:8" x14ac:dyDescent="0.25">
      <c r="A190" t="s">
        <v>260</v>
      </c>
      <c r="B190" t="s">
        <v>257</v>
      </c>
      <c r="C190" t="s">
        <v>8</v>
      </c>
      <c r="D190" t="s">
        <v>140</v>
      </c>
      <c r="E190" s="5" t="s">
        <v>38</v>
      </c>
      <c r="F190" t="s">
        <v>11</v>
      </c>
      <c r="G190" t="str">
        <f>_xlfn.CONCAT(Canonical[[#This Row],[Column1.id]:[Column1.discipline]])</f>
        <v>e_50_m_remolque_de_maniqui_con_aletas_juvenil_m50 m Remolque de Maniquí con AletasMJuvenil50Remolque de Maniquí con Aletas</v>
      </c>
      <c r="H190">
        <f>COUNTIF(Canonical[Column1.id],Canonical[[#This Row],[Column1.id]])</f>
        <v>1</v>
      </c>
    </row>
    <row r="191" spans="1:8" x14ac:dyDescent="0.25">
      <c r="A191" t="s">
        <v>344</v>
      </c>
      <c r="B191" t="s">
        <v>14</v>
      </c>
      <c r="C191" t="s">
        <v>8</v>
      </c>
      <c r="D191" t="s">
        <v>151</v>
      </c>
      <c r="E191" s="5" t="s">
        <v>38</v>
      </c>
      <c r="F191" t="s">
        <v>10</v>
      </c>
      <c r="G191" t="str">
        <f>_xlfn.CONCAT(Canonical[[#This Row],[Column1.id]:[Column1.discipline]])</f>
        <v>e_50_m_remolque_de_maniqui_infantil_m50 m Remolque de ManiquíMInfantil50Remolque de Maniquí</v>
      </c>
      <c r="H191">
        <f>COUNTIF(Canonical[Column1.id],Canonical[[#This Row],[Column1.id]])</f>
        <v>1</v>
      </c>
    </row>
    <row r="192" spans="1:8" x14ac:dyDescent="0.25">
      <c r="A192" t="s">
        <v>252</v>
      </c>
      <c r="B192" t="s">
        <v>14</v>
      </c>
      <c r="C192" t="s">
        <v>6</v>
      </c>
      <c r="D192" t="s">
        <v>142</v>
      </c>
      <c r="E192" s="5" t="s">
        <v>38</v>
      </c>
      <c r="F192" t="s">
        <v>10</v>
      </c>
      <c r="G192" t="str">
        <f>_xlfn.CONCAT(Canonical[[#This Row],[Column1.id]:[Column1.discipline]])</f>
        <v>e_50_m_remolque_de_maniqui_junior_f50 m Remolque de ManiquíFJúnior50Remolque de Maniquí</v>
      </c>
      <c r="H192">
        <f>COUNTIF(Canonical[Column1.id],Canonical[[#This Row],[Column1.id]])</f>
        <v>1</v>
      </c>
    </row>
    <row r="193" spans="1:8" x14ac:dyDescent="0.25">
      <c r="A193" t="s">
        <v>248</v>
      </c>
      <c r="B193" t="s">
        <v>14</v>
      </c>
      <c r="C193" t="s">
        <v>8</v>
      </c>
      <c r="D193" t="s">
        <v>142</v>
      </c>
      <c r="E193" s="5" t="s">
        <v>38</v>
      </c>
      <c r="F193" t="s">
        <v>10</v>
      </c>
      <c r="G193" t="str">
        <f>_xlfn.CONCAT(Canonical[[#This Row],[Column1.id]:[Column1.discipline]])</f>
        <v>e_50_m_remolque_de_maniqui_junior_m50 m Remolque de ManiquíMJúnior50Remolque de Maniquí</v>
      </c>
      <c r="H193">
        <f>COUNTIF(Canonical[Column1.id],Canonical[[#This Row],[Column1.id]])</f>
        <v>1</v>
      </c>
    </row>
    <row r="194" spans="1:8" x14ac:dyDescent="0.25">
      <c r="A194" t="s">
        <v>254</v>
      </c>
      <c r="B194" t="s">
        <v>14</v>
      </c>
      <c r="C194" t="s">
        <v>6</v>
      </c>
      <c r="D194" t="s">
        <v>140</v>
      </c>
      <c r="E194" s="5" t="s">
        <v>38</v>
      </c>
      <c r="F194" t="s">
        <v>10</v>
      </c>
      <c r="G194" t="str">
        <f>_xlfn.CONCAT(Canonical[[#This Row],[Column1.id]:[Column1.discipline]])</f>
        <v>e_50_m_remolque_de_maniqui_juvenil_f50 m Remolque de ManiquíFJuvenil50Remolque de Maniquí</v>
      </c>
      <c r="H194">
        <f>COUNTIF(Canonical[Column1.id],Canonical[[#This Row],[Column1.id]])</f>
        <v>1</v>
      </c>
    </row>
    <row r="195" spans="1:8" x14ac:dyDescent="0.25">
      <c r="A195" t="s">
        <v>249</v>
      </c>
      <c r="B195" t="s">
        <v>14</v>
      </c>
      <c r="C195" t="s">
        <v>8</v>
      </c>
      <c r="D195" t="s">
        <v>140</v>
      </c>
      <c r="E195" s="5" t="s">
        <v>38</v>
      </c>
      <c r="F195" t="s">
        <v>10</v>
      </c>
      <c r="G195" t="str">
        <f>_xlfn.CONCAT(Canonical[[#This Row],[Column1.id]:[Column1.discipline]])</f>
        <v>e_50_m_remolque_de_maniqui_juvenil_m50 m Remolque de ManiquíMJuvenil50Remolque de Maniquí</v>
      </c>
      <c r="H195">
        <f>COUNTIF(Canonical[Column1.id],Canonical[[#This Row],[Column1.id]])</f>
        <v>1</v>
      </c>
    </row>
    <row r="196" spans="1:8" x14ac:dyDescent="0.25">
      <c r="A196" t="s">
        <v>87</v>
      </c>
      <c r="B196" t="s">
        <v>14</v>
      </c>
      <c r="C196" t="s">
        <v>6</v>
      </c>
      <c r="D196" t="s">
        <v>22</v>
      </c>
      <c r="E196" s="5" t="s">
        <v>38</v>
      </c>
      <c r="F196" t="s">
        <v>10</v>
      </c>
      <c r="G196" t="str">
        <f>_xlfn.CONCAT(Canonical[[#This Row],[Column1.id]:[Column1.discipline]])</f>
        <v>e_50_m_remolque_de_maniqui_master_30_34_f50 m Remolque de ManiquíFMáster 30-3450Remolque de Maniquí</v>
      </c>
      <c r="H196">
        <f>COUNTIF(Canonical[Column1.id],Canonical[[#This Row],[Column1.id]])</f>
        <v>1</v>
      </c>
    </row>
    <row r="197" spans="1:8" x14ac:dyDescent="0.25">
      <c r="A197" t="s">
        <v>81</v>
      </c>
      <c r="B197" t="s">
        <v>14</v>
      </c>
      <c r="C197" t="s">
        <v>8</v>
      </c>
      <c r="D197" t="s">
        <v>22</v>
      </c>
      <c r="E197" s="5" t="s">
        <v>38</v>
      </c>
      <c r="F197" t="s">
        <v>10</v>
      </c>
      <c r="G197" t="str">
        <f>_xlfn.CONCAT(Canonical[[#This Row],[Column1.id]:[Column1.discipline]])</f>
        <v>e_50_m_remolque_de_maniqui_master_30_34_m50 m Remolque de ManiquíMMáster 30-3450Remolque de Maniquí</v>
      </c>
      <c r="H197">
        <f>COUNTIF(Canonical[Column1.id],Canonical[[#This Row],[Column1.id]])</f>
        <v>1</v>
      </c>
    </row>
    <row r="198" spans="1:8" x14ac:dyDescent="0.25">
      <c r="A198" t="s">
        <v>308</v>
      </c>
      <c r="B198" t="s">
        <v>14</v>
      </c>
      <c r="C198" t="s">
        <v>6</v>
      </c>
      <c r="D198" t="s">
        <v>173</v>
      </c>
      <c r="E198" s="5" t="s">
        <v>38</v>
      </c>
      <c r="F198" t="s">
        <v>10</v>
      </c>
      <c r="G198" t="str">
        <f>_xlfn.CONCAT(Canonical[[#This Row],[Column1.id]:[Column1.discipline]])</f>
        <v>e_50_m_remolque_de_maniqui_master_30_39_f50 m Remolque de ManiquíFMáster 30-3950Remolque de Maniquí</v>
      </c>
      <c r="H198">
        <f>COUNTIF(Canonical[Column1.id],Canonical[[#This Row],[Column1.id]])</f>
        <v>1</v>
      </c>
    </row>
    <row r="199" spans="1:8" x14ac:dyDescent="0.25">
      <c r="A199" t="s">
        <v>346</v>
      </c>
      <c r="B199" t="s">
        <v>14</v>
      </c>
      <c r="C199" t="s">
        <v>8</v>
      </c>
      <c r="D199" t="s">
        <v>173</v>
      </c>
      <c r="E199" s="5" t="s">
        <v>38</v>
      </c>
      <c r="F199" t="s">
        <v>10</v>
      </c>
      <c r="G199" t="str">
        <f>_xlfn.CONCAT(Canonical[[#This Row],[Column1.id]:[Column1.discipline]])</f>
        <v>e_50_m_remolque_de_maniqui_master_30_39_m50 m Remolque de ManiquíMMáster 30-3950Remolque de Maniquí</v>
      </c>
      <c r="H199">
        <f>COUNTIF(Canonical[Column1.id],Canonical[[#This Row],[Column1.id]])</f>
        <v>1</v>
      </c>
    </row>
    <row r="200" spans="1:8" x14ac:dyDescent="0.25">
      <c r="A200" t="s">
        <v>129</v>
      </c>
      <c r="B200" t="s">
        <v>14</v>
      </c>
      <c r="C200" t="s">
        <v>6</v>
      </c>
      <c r="D200" t="s">
        <v>23</v>
      </c>
      <c r="E200" s="5" t="s">
        <v>38</v>
      </c>
      <c r="F200" t="s">
        <v>10</v>
      </c>
      <c r="G200" t="str">
        <f>_xlfn.CONCAT(Canonical[[#This Row],[Column1.id]:[Column1.discipline]])</f>
        <v>e_50_m_remolque_de_maniqui_master_35_39_f50 m Remolque de ManiquíFMáster 35-3950Remolque de Maniquí</v>
      </c>
      <c r="H200">
        <f>COUNTIF(Canonical[Column1.id],Canonical[[#This Row],[Column1.id]])</f>
        <v>1</v>
      </c>
    </row>
    <row r="201" spans="1:8" x14ac:dyDescent="0.25">
      <c r="A201" t="s">
        <v>128</v>
      </c>
      <c r="B201" t="s">
        <v>14</v>
      </c>
      <c r="C201" t="s">
        <v>8</v>
      </c>
      <c r="D201" t="s">
        <v>23</v>
      </c>
      <c r="E201" s="5" t="s">
        <v>38</v>
      </c>
      <c r="F201" t="s">
        <v>10</v>
      </c>
      <c r="G201" t="str">
        <f>_xlfn.CONCAT(Canonical[[#This Row],[Column1.id]:[Column1.discipline]])</f>
        <v>e_50_m_remolque_de_maniqui_master_35_39_m50 m Remolque de ManiquíMMáster 35-3950Remolque de Maniquí</v>
      </c>
      <c r="H201">
        <f>COUNTIF(Canonical[Column1.id],Canonical[[#This Row],[Column1.id]])</f>
        <v>1</v>
      </c>
    </row>
    <row r="202" spans="1:8" x14ac:dyDescent="0.25">
      <c r="A202" t="s">
        <v>84</v>
      </c>
      <c r="B202" t="s">
        <v>14</v>
      </c>
      <c r="C202" t="s">
        <v>8</v>
      </c>
      <c r="D202" t="s">
        <v>25</v>
      </c>
      <c r="E202" s="5" t="s">
        <v>38</v>
      </c>
      <c r="F202" t="s">
        <v>10</v>
      </c>
      <c r="G202" t="str">
        <f>_xlfn.CONCAT(Canonical[[#This Row],[Column1.id]:[Column1.discipline]])</f>
        <v>e_50_m_remolque_de_maniqui_master_40_44_m50 m Remolque de ManiquíMMáster 40-4450Remolque de Maniquí</v>
      </c>
      <c r="H202">
        <f>COUNTIF(Canonical[Column1.id],Canonical[[#This Row],[Column1.id]])</f>
        <v>1</v>
      </c>
    </row>
    <row r="203" spans="1:8" x14ac:dyDescent="0.25">
      <c r="A203" t="s">
        <v>309</v>
      </c>
      <c r="B203" t="s">
        <v>14</v>
      </c>
      <c r="C203" t="s">
        <v>6</v>
      </c>
      <c r="D203" t="s">
        <v>156</v>
      </c>
      <c r="E203" s="5" t="s">
        <v>38</v>
      </c>
      <c r="F203" t="s">
        <v>10</v>
      </c>
      <c r="G203" t="str">
        <f>_xlfn.CONCAT(Canonical[[#This Row],[Column1.id]:[Column1.discipline]])</f>
        <v>e_50_m_remolque_de_maniqui_master_40_49_f50 m Remolque de ManiquíFMáster 40-4950Remolque de Maniquí</v>
      </c>
      <c r="H203">
        <f>COUNTIF(Canonical[Column1.id],Canonical[[#This Row],[Column1.id]])</f>
        <v>1</v>
      </c>
    </row>
    <row r="204" spans="1:8" x14ac:dyDescent="0.25">
      <c r="A204" t="s">
        <v>255</v>
      </c>
      <c r="B204" t="s">
        <v>14</v>
      </c>
      <c r="C204" t="s">
        <v>8</v>
      </c>
      <c r="D204" t="s">
        <v>156</v>
      </c>
      <c r="E204" s="5" t="s">
        <v>38</v>
      </c>
      <c r="F204" t="s">
        <v>10</v>
      </c>
      <c r="G204" t="str">
        <f>_xlfn.CONCAT(Canonical[[#This Row],[Column1.id]:[Column1.discipline]])</f>
        <v>e_50_m_remolque_de_maniqui_master_40_49_m50 m Remolque de ManiquíMMáster 40-4950Remolque de Maniquí</v>
      </c>
      <c r="H204">
        <f>COUNTIF(Canonical[Column1.id],Canonical[[#This Row],[Column1.id]])</f>
        <v>1</v>
      </c>
    </row>
    <row r="205" spans="1:8" x14ac:dyDescent="0.25">
      <c r="A205" t="s">
        <v>131</v>
      </c>
      <c r="B205" t="s">
        <v>14</v>
      </c>
      <c r="C205" t="s">
        <v>6</v>
      </c>
      <c r="D205" t="s">
        <v>26</v>
      </c>
      <c r="E205" s="5" t="s">
        <v>38</v>
      </c>
      <c r="F205" t="s">
        <v>10</v>
      </c>
      <c r="G205" t="str">
        <f>_xlfn.CONCAT(Canonical[[#This Row],[Column1.id]:[Column1.discipline]])</f>
        <v>e_50_m_remolque_de_maniqui_master_45_49_f50 m Remolque de ManiquíFMáster 45-4950Remolque de Maniquí</v>
      </c>
      <c r="H205">
        <f>COUNTIF(Canonical[Column1.id],Canonical[[#This Row],[Column1.id]])</f>
        <v>1</v>
      </c>
    </row>
    <row r="206" spans="1:8" x14ac:dyDescent="0.25">
      <c r="A206" t="s">
        <v>80</v>
      </c>
      <c r="B206" t="s">
        <v>14</v>
      </c>
      <c r="C206" t="s">
        <v>8</v>
      </c>
      <c r="D206" t="s">
        <v>26</v>
      </c>
      <c r="E206" s="5" t="s">
        <v>38</v>
      </c>
      <c r="F206" t="s">
        <v>10</v>
      </c>
      <c r="G206" t="str">
        <f>_xlfn.CONCAT(Canonical[[#This Row],[Column1.id]:[Column1.discipline]])</f>
        <v>e_50_m_remolque_de_maniqui_master_45_49_m50 m Remolque de ManiquíMMáster 45-4950Remolque de Maniquí</v>
      </c>
      <c r="H206">
        <f>COUNTIF(Canonical[Column1.id],Canonical[[#This Row],[Column1.id]])</f>
        <v>1</v>
      </c>
    </row>
    <row r="207" spans="1:8" x14ac:dyDescent="0.25">
      <c r="A207" t="s">
        <v>85</v>
      </c>
      <c r="B207" t="s">
        <v>14</v>
      </c>
      <c r="C207" t="s">
        <v>6</v>
      </c>
      <c r="D207" t="s">
        <v>24</v>
      </c>
      <c r="E207" s="5" t="s">
        <v>38</v>
      </c>
      <c r="F207" t="s">
        <v>10</v>
      </c>
      <c r="G207" t="str">
        <f>_xlfn.CONCAT(Canonical[[#This Row],[Column1.id]:[Column1.discipline]])</f>
        <v>e_50_m_remolque_de_maniqui_master_50_54_f50 m Remolque de ManiquíFMáster 50-5450Remolque de Maniquí</v>
      </c>
      <c r="H207">
        <f>COUNTIF(Canonical[Column1.id],Canonical[[#This Row],[Column1.id]])</f>
        <v>1</v>
      </c>
    </row>
    <row r="208" spans="1:8" x14ac:dyDescent="0.25">
      <c r="A208" t="s">
        <v>83</v>
      </c>
      <c r="B208" t="s">
        <v>14</v>
      </c>
      <c r="C208" t="s">
        <v>8</v>
      </c>
      <c r="D208" t="s">
        <v>24</v>
      </c>
      <c r="E208" s="5" t="s">
        <v>38</v>
      </c>
      <c r="F208" t="s">
        <v>10</v>
      </c>
      <c r="G208" t="str">
        <f>_xlfn.CONCAT(Canonical[[#This Row],[Column1.id]:[Column1.discipline]])</f>
        <v>e_50_m_remolque_de_maniqui_master_50_54_m50 m Remolque de ManiquíMMáster 50-5450Remolque de Maniquí</v>
      </c>
      <c r="H208">
        <f>COUNTIF(Canonical[Column1.id],Canonical[[#This Row],[Column1.id]])</f>
        <v>1</v>
      </c>
    </row>
    <row r="209" spans="1:8" x14ac:dyDescent="0.25">
      <c r="A209" t="s">
        <v>310</v>
      </c>
      <c r="B209" t="s">
        <v>14</v>
      </c>
      <c r="C209" t="s">
        <v>6</v>
      </c>
      <c r="D209" t="s">
        <v>293</v>
      </c>
      <c r="E209" s="5" t="s">
        <v>38</v>
      </c>
      <c r="F209" t="s">
        <v>10</v>
      </c>
      <c r="G209" t="str">
        <f>_xlfn.CONCAT(Canonical[[#This Row],[Column1.id]:[Column1.discipline]])</f>
        <v>e_50_m_remolque_de_maniqui_master_50_59_f50 m Remolque de ManiquíFMáster 50-5950Remolque de Maniquí</v>
      </c>
      <c r="H209">
        <f>COUNTIF(Canonical[Column1.id],Canonical[[#This Row],[Column1.id]])</f>
        <v>1</v>
      </c>
    </row>
    <row r="210" spans="1:8" x14ac:dyDescent="0.25">
      <c r="A210" t="s">
        <v>311</v>
      </c>
      <c r="B210" t="s">
        <v>14</v>
      </c>
      <c r="C210" t="s">
        <v>8</v>
      </c>
      <c r="D210" t="s">
        <v>293</v>
      </c>
      <c r="E210" s="5" t="s">
        <v>38</v>
      </c>
      <c r="F210" t="s">
        <v>10</v>
      </c>
      <c r="G210" t="str">
        <f>_xlfn.CONCAT(Canonical[[#This Row],[Column1.id]:[Column1.discipline]])</f>
        <v>e_50_m_remolque_de_maniqui_master_50_59_m50 m Remolque de ManiquíMMáster 50-5950Remolque de Maniquí</v>
      </c>
      <c r="H210">
        <f>COUNTIF(Canonical[Column1.id],Canonical[[#This Row],[Column1.id]])</f>
        <v>1</v>
      </c>
    </row>
    <row r="211" spans="1:8" x14ac:dyDescent="0.25">
      <c r="A211" t="s">
        <v>86</v>
      </c>
      <c r="B211" t="s">
        <v>14</v>
      </c>
      <c r="C211" t="s">
        <v>6</v>
      </c>
      <c r="D211" t="s">
        <v>17</v>
      </c>
      <c r="E211" s="5" t="s">
        <v>38</v>
      </c>
      <c r="F211" t="s">
        <v>10</v>
      </c>
      <c r="G211" t="str">
        <f>_xlfn.CONCAT(Canonical[[#This Row],[Column1.id]:[Column1.discipline]])</f>
        <v>e_50_m_remolque_de_maniqui_master_55_59_f50 m Remolque de ManiquíFMáster 55-5950Remolque de Maniquí</v>
      </c>
      <c r="H211">
        <f>COUNTIF(Canonical[Column1.id],Canonical[[#This Row],[Column1.id]])</f>
        <v>1</v>
      </c>
    </row>
    <row r="212" spans="1:8" x14ac:dyDescent="0.25">
      <c r="A212" t="s">
        <v>82</v>
      </c>
      <c r="B212" t="s">
        <v>14</v>
      </c>
      <c r="C212" t="s">
        <v>8</v>
      </c>
      <c r="D212" t="s">
        <v>17</v>
      </c>
      <c r="E212" s="5" t="s">
        <v>38</v>
      </c>
      <c r="F212" t="s">
        <v>10</v>
      </c>
      <c r="G212" t="str">
        <f>_xlfn.CONCAT(Canonical[[#This Row],[Column1.id]:[Column1.discipline]])</f>
        <v>e_50_m_remolque_de_maniqui_master_55_59_m50 m Remolque de ManiquíMMáster 55-5950Remolque de Maniquí</v>
      </c>
      <c r="H212">
        <f>COUNTIF(Canonical[Column1.id],Canonical[[#This Row],[Column1.id]])</f>
        <v>1</v>
      </c>
    </row>
    <row r="213" spans="1:8" x14ac:dyDescent="0.25">
      <c r="A213" t="s">
        <v>130</v>
      </c>
      <c r="B213" t="s">
        <v>14</v>
      </c>
      <c r="C213" t="s">
        <v>8</v>
      </c>
      <c r="D213" t="s">
        <v>27</v>
      </c>
      <c r="E213" s="5" t="s">
        <v>38</v>
      </c>
      <c r="F213" t="s">
        <v>10</v>
      </c>
      <c r="G213" t="str">
        <f>_xlfn.CONCAT(Canonical[[#This Row],[Column1.id]:[Column1.discipline]])</f>
        <v>e_50_m_remolque_de_maniqui_master_60_64_m50 m Remolque de ManiquíMMáster 60-6450Remolque de Maniquí</v>
      </c>
      <c r="H213">
        <f>COUNTIF(Canonical[Column1.id],Canonical[[#This Row],[Column1.id]])</f>
        <v>1</v>
      </c>
    </row>
    <row r="214" spans="1:8" x14ac:dyDescent="0.25">
      <c r="A214" t="s">
        <v>345</v>
      </c>
      <c r="B214" t="s">
        <v>14</v>
      </c>
      <c r="C214" t="s">
        <v>6</v>
      </c>
      <c r="D214" t="s">
        <v>149</v>
      </c>
      <c r="E214" s="5" t="s">
        <v>38</v>
      </c>
      <c r="F214" t="s">
        <v>10</v>
      </c>
      <c r="G214" t="str">
        <f>_xlfn.CONCAT(Canonical[[#This Row],[Column1.id]:[Column1.discipline]])</f>
        <v>e_50_m_remolque_de_maniqui_master_60_69_f50 m Remolque de ManiquíFMáster 60-6950Remolque de Maniquí</v>
      </c>
      <c r="H214">
        <f>COUNTIF(Canonical[Column1.id],Canonical[[#This Row],[Column1.id]])</f>
        <v>1</v>
      </c>
    </row>
    <row r="215" spans="1:8" x14ac:dyDescent="0.25">
      <c r="A215" t="s">
        <v>250</v>
      </c>
      <c r="B215" t="s">
        <v>14</v>
      </c>
      <c r="C215" t="s">
        <v>8</v>
      </c>
      <c r="D215" t="s">
        <v>149</v>
      </c>
      <c r="E215" s="5" t="s">
        <v>38</v>
      </c>
      <c r="F215" t="s">
        <v>10</v>
      </c>
      <c r="G215" t="str">
        <f>_xlfn.CONCAT(Canonical[[#This Row],[Column1.id]:[Column1.discipline]])</f>
        <v>e_50_m_remolque_de_maniqui_master_60_69_m50 m Remolque de ManiquíMMáster 60-6950Remolque de Maniquí</v>
      </c>
      <c r="H215">
        <f>COUNTIF(Canonical[Column1.id],Canonical[[#This Row],[Column1.id]])</f>
        <v>1</v>
      </c>
    </row>
    <row r="216" spans="1:8" x14ac:dyDescent="0.25">
      <c r="A216" t="s">
        <v>132</v>
      </c>
      <c r="B216" t="s">
        <v>14</v>
      </c>
      <c r="C216" t="s">
        <v>8</v>
      </c>
      <c r="D216" t="s">
        <v>96</v>
      </c>
      <c r="E216" s="5" t="s">
        <v>38</v>
      </c>
      <c r="F216" t="s">
        <v>10</v>
      </c>
      <c r="G216" t="str">
        <f>_xlfn.CONCAT(Canonical[[#This Row],[Column1.id]:[Column1.discipline]])</f>
        <v>e_50_m_remolque_de_maniqui_master_70_74_m50 m Remolque de ManiquíMMáster 70-7450Remolque de Maniquí</v>
      </c>
      <c r="H216">
        <f>COUNTIF(Canonical[Column1.id],Canonical[[#This Row],[Column1.id]])</f>
        <v>1</v>
      </c>
    </row>
    <row r="217" spans="1:8" x14ac:dyDescent="0.25">
      <c r="A217" t="s">
        <v>268</v>
      </c>
      <c r="B217" t="s">
        <v>264</v>
      </c>
      <c r="C217" t="s">
        <v>6</v>
      </c>
      <c r="D217" t="s">
        <v>144</v>
      </c>
      <c r="E217" s="5" t="s">
        <v>38</v>
      </c>
      <c r="F217" t="s">
        <v>9</v>
      </c>
      <c r="G217" t="str">
        <f>_xlfn.CONCAT(Canonical[[#This Row],[Column1.id]:[Column1.discipline]])</f>
        <v>e_50_m_socorrista_absoluto_f50 m SocorristaFAbsoluta50Socorrista</v>
      </c>
      <c r="H217">
        <f>COUNTIF(Canonical[Column1.id],Canonical[[#This Row],[Column1.id]])</f>
        <v>1</v>
      </c>
    </row>
    <row r="218" spans="1:8" x14ac:dyDescent="0.25">
      <c r="A218" t="s">
        <v>266</v>
      </c>
      <c r="B218" t="s">
        <v>264</v>
      </c>
      <c r="C218" t="s">
        <v>8</v>
      </c>
      <c r="D218" t="s">
        <v>144</v>
      </c>
      <c r="E218" s="5" t="s">
        <v>38</v>
      </c>
      <c r="F218" t="s">
        <v>9</v>
      </c>
      <c r="G218" t="str">
        <f>_xlfn.CONCAT(Canonical[[#This Row],[Column1.id]:[Column1.discipline]])</f>
        <v>e_50_m_socorrista_absoluto_m50 m SocorristaMAbsoluta50Socorrista</v>
      </c>
      <c r="H218">
        <f>COUNTIF(Canonical[Column1.id],Canonical[[#This Row],[Column1.id]])</f>
        <v>1</v>
      </c>
    </row>
    <row r="219" spans="1:8" x14ac:dyDescent="0.25">
      <c r="A219" t="s">
        <v>263</v>
      </c>
      <c r="B219" t="s">
        <v>264</v>
      </c>
      <c r="C219" t="s">
        <v>6</v>
      </c>
      <c r="D219" t="s">
        <v>142</v>
      </c>
      <c r="E219" s="5" t="s">
        <v>38</v>
      </c>
      <c r="F219" t="s">
        <v>9</v>
      </c>
      <c r="G219" t="str">
        <f>_xlfn.CONCAT(Canonical[[#This Row],[Column1.id]:[Column1.discipline]])</f>
        <v>e_50_m_socorrista_junior_f50 m SocorristaFJúnior50Socorrista</v>
      </c>
      <c r="H219">
        <f>COUNTIF(Canonical[Column1.id],Canonical[[#This Row],[Column1.id]])</f>
        <v>1</v>
      </c>
    </row>
    <row r="220" spans="1:8" x14ac:dyDescent="0.25">
      <c r="A220" t="s">
        <v>265</v>
      </c>
      <c r="B220" t="s">
        <v>264</v>
      </c>
      <c r="C220" t="s">
        <v>8</v>
      </c>
      <c r="D220" t="s">
        <v>142</v>
      </c>
      <c r="E220" s="5" t="s">
        <v>38</v>
      </c>
      <c r="F220" t="s">
        <v>9</v>
      </c>
      <c r="G220" t="str">
        <f>_xlfn.CONCAT(Canonical[[#This Row],[Column1.id]:[Column1.discipline]])</f>
        <v>e_50_m_socorrista_junior_m50 m SocorristaMJúnior50Socorrista</v>
      </c>
      <c r="H220">
        <f>COUNTIF(Canonical[Column1.id],Canonical[[#This Row],[Column1.id]])</f>
        <v>1</v>
      </c>
    </row>
    <row r="221" spans="1:8" x14ac:dyDescent="0.25">
      <c r="A221" t="s">
        <v>267</v>
      </c>
      <c r="B221" t="s">
        <v>264</v>
      </c>
      <c r="C221" t="s">
        <v>6</v>
      </c>
      <c r="D221" t="s">
        <v>140</v>
      </c>
      <c r="E221" s="5" t="s">
        <v>38</v>
      </c>
      <c r="F221" t="s">
        <v>9</v>
      </c>
      <c r="G221" t="str">
        <f>_xlfn.CONCAT(Canonical[[#This Row],[Column1.id]:[Column1.discipline]])</f>
        <v>e_50_m_socorrista_juvenil_f50 m SocorristaFJuvenil50Socorrista</v>
      </c>
      <c r="H221">
        <f>COUNTIF(Canonical[Column1.id],Canonical[[#This Row],[Column1.id]])</f>
        <v>1</v>
      </c>
    </row>
    <row r="222" spans="1:8" x14ac:dyDescent="0.25">
      <c r="A222" t="s">
        <v>347</v>
      </c>
      <c r="B222" t="s">
        <v>264</v>
      </c>
      <c r="C222" t="s">
        <v>8</v>
      </c>
      <c r="D222" t="s">
        <v>140</v>
      </c>
      <c r="E222" s="5" t="s">
        <v>38</v>
      </c>
      <c r="F222" t="s">
        <v>9</v>
      </c>
      <c r="G222" t="str">
        <f>_xlfn.CONCAT(Canonical[[#This Row],[Column1.id]:[Column1.discipline]])</f>
        <v>e_50_m_socorrista_juvenil_m50 m SocorristaMJuvenil50Socorrista</v>
      </c>
      <c r="H222">
        <f>COUNTIF(Canonical[Column1.id],Canonical[[#This Row],[Column1.id]])</f>
        <v>1</v>
      </c>
    </row>
    <row r="223" spans="1:8" x14ac:dyDescent="0.25">
      <c r="A223" t="s">
        <v>272</v>
      </c>
      <c r="B223" t="s">
        <v>28</v>
      </c>
      <c r="C223" t="s">
        <v>6</v>
      </c>
      <c r="D223" t="s">
        <v>144</v>
      </c>
      <c r="E223" s="5"/>
      <c r="F223" t="s">
        <v>28</v>
      </c>
      <c r="G223" t="str">
        <f>_xlfn.CONCAT(Canonical[[#This Row],[Column1.id]:[Column1.discipline]])</f>
        <v>e_lanzamiento_de_cuerda_absoluto_fLanzamiento de CuerdaFAbsolutaLanzamiento de Cuerda</v>
      </c>
      <c r="H223">
        <f>COUNTIF(Canonical[Column1.id],Canonical[[#This Row],[Column1.id]])</f>
        <v>1</v>
      </c>
    </row>
    <row r="224" spans="1:8" x14ac:dyDescent="0.25">
      <c r="A224" t="s">
        <v>270</v>
      </c>
      <c r="B224" t="s">
        <v>28</v>
      </c>
      <c r="C224" t="s">
        <v>8</v>
      </c>
      <c r="D224" t="s">
        <v>144</v>
      </c>
      <c r="E224" s="5"/>
      <c r="F224" t="s">
        <v>28</v>
      </c>
      <c r="G224" t="str">
        <f>_xlfn.CONCAT(Canonical[[#This Row],[Column1.id]:[Column1.discipline]])</f>
        <v>e_lanzamiento_de_cuerda_absoluto_mLanzamiento de CuerdaMAbsolutaLanzamiento de Cuerda</v>
      </c>
      <c r="H224">
        <f>COUNTIF(Canonical[Column1.id],Canonical[[#This Row],[Column1.id]])</f>
        <v>1</v>
      </c>
    </row>
    <row r="225" spans="1:8" x14ac:dyDescent="0.25">
      <c r="A225" t="s">
        <v>271</v>
      </c>
      <c r="B225" t="s">
        <v>28</v>
      </c>
      <c r="C225" t="s">
        <v>6</v>
      </c>
      <c r="D225" t="s">
        <v>142</v>
      </c>
      <c r="E225" s="5"/>
      <c r="F225" t="s">
        <v>28</v>
      </c>
      <c r="G225" t="str">
        <f>_xlfn.CONCAT(Canonical[[#This Row],[Column1.id]:[Column1.discipline]])</f>
        <v>e_lanzamiento_de_cuerda_junior_fLanzamiento de CuerdaFJúniorLanzamiento de Cuerda</v>
      </c>
      <c r="H225">
        <f>COUNTIF(Canonical[Column1.id],Canonical[[#This Row],[Column1.id]])</f>
        <v>1</v>
      </c>
    </row>
    <row r="226" spans="1:8" x14ac:dyDescent="0.25">
      <c r="A226" t="s">
        <v>273</v>
      </c>
      <c r="B226" t="s">
        <v>28</v>
      </c>
      <c r="C226" t="s">
        <v>8</v>
      </c>
      <c r="D226" t="s">
        <v>142</v>
      </c>
      <c r="E226" s="5"/>
      <c r="F226" t="s">
        <v>28</v>
      </c>
      <c r="G226" t="str">
        <f>_xlfn.CONCAT(Canonical[[#This Row],[Column1.id]:[Column1.discipline]])</f>
        <v>e_lanzamiento_de_cuerda_junior_mLanzamiento de CuerdaMJúniorLanzamiento de Cuerda</v>
      </c>
      <c r="H226">
        <f>COUNTIF(Canonical[Column1.id],Canonical[[#This Row],[Column1.id]])</f>
        <v>1</v>
      </c>
    </row>
    <row r="227" spans="1:8" x14ac:dyDescent="0.25">
      <c r="A227" t="s">
        <v>269</v>
      </c>
      <c r="B227" t="s">
        <v>28</v>
      </c>
      <c r="C227" t="s">
        <v>6</v>
      </c>
      <c r="D227" t="s">
        <v>140</v>
      </c>
      <c r="E227" s="5"/>
      <c r="F227" t="s">
        <v>28</v>
      </c>
      <c r="G227" t="str">
        <f>_xlfn.CONCAT(Canonical[[#This Row],[Column1.id]:[Column1.discipline]])</f>
        <v>e_lanzamiento_de_cuerda_juvenil_fLanzamiento de CuerdaFJuvenilLanzamiento de Cuerda</v>
      </c>
      <c r="H227">
        <f>COUNTIF(Canonical[Column1.id],Canonical[[#This Row],[Column1.id]])</f>
        <v>1</v>
      </c>
    </row>
    <row r="228" spans="1:8" x14ac:dyDescent="0.25">
      <c r="A228" t="s">
        <v>348</v>
      </c>
      <c r="B228" t="s">
        <v>28</v>
      </c>
      <c r="C228" t="s">
        <v>8</v>
      </c>
      <c r="D228" t="s">
        <v>140</v>
      </c>
      <c r="E228" s="5"/>
      <c r="F228" t="s">
        <v>28</v>
      </c>
      <c r="G228" t="str">
        <f>_xlfn.CONCAT(Canonical[[#This Row],[Column1.id]:[Column1.discipline]])</f>
        <v>e_lanzamiento_de_cuerda_juvenil_mLanzamiento de CuerdaMJuvenilLanzamiento de Cuerda</v>
      </c>
      <c r="H228">
        <f>COUNTIF(Canonical[Column1.id],Canonical[[#This Row],[Column1.id]])</f>
        <v>1</v>
      </c>
    </row>
    <row r="229" spans="1:8" x14ac:dyDescent="0.25">
      <c r="A229" t="s">
        <v>63</v>
      </c>
      <c r="B229" t="s">
        <v>28</v>
      </c>
      <c r="C229" t="s">
        <v>6</v>
      </c>
      <c r="D229" t="s">
        <v>22</v>
      </c>
      <c r="E229" s="5"/>
      <c r="F229" t="s">
        <v>28</v>
      </c>
      <c r="G229" t="str">
        <f>_xlfn.CONCAT(Canonical[[#This Row],[Column1.id]:[Column1.discipline]])</f>
        <v>e_lanzamiento_de_cuerda_master_30_34_fLanzamiento de CuerdaFMáster 30-34Lanzamiento de Cuerda</v>
      </c>
      <c r="H229">
        <f>COUNTIF(Canonical[Column1.id],Canonical[[#This Row],[Column1.id]])</f>
        <v>1</v>
      </c>
    </row>
    <row r="230" spans="1:8" x14ac:dyDescent="0.25">
      <c r="A230" t="s">
        <v>65</v>
      </c>
      <c r="B230" t="s">
        <v>28</v>
      </c>
      <c r="C230" t="s">
        <v>8</v>
      </c>
      <c r="D230" t="s">
        <v>22</v>
      </c>
      <c r="E230" s="5"/>
      <c r="F230" t="s">
        <v>28</v>
      </c>
      <c r="G230" t="str">
        <f>_xlfn.CONCAT(Canonical[[#This Row],[Column1.id]:[Column1.discipline]])</f>
        <v>e_lanzamiento_de_cuerda_master_30_34_mLanzamiento de CuerdaMMáster 30-34Lanzamiento de Cuerda</v>
      </c>
      <c r="H230">
        <f>COUNTIF(Canonical[Column1.id],Canonical[[#This Row],[Column1.id]])</f>
        <v>1</v>
      </c>
    </row>
    <row r="231" spans="1:8" x14ac:dyDescent="0.25">
      <c r="A231" t="s">
        <v>134</v>
      </c>
      <c r="B231" t="s">
        <v>28</v>
      </c>
      <c r="C231" t="s">
        <v>6</v>
      </c>
      <c r="D231" t="s">
        <v>23</v>
      </c>
      <c r="E231" s="5"/>
      <c r="F231" t="s">
        <v>28</v>
      </c>
      <c r="G231" t="str">
        <f>_xlfn.CONCAT(Canonical[[#This Row],[Column1.id]:[Column1.discipline]])</f>
        <v>e_lanzamiento_de_cuerda_master_35_39_fLanzamiento de CuerdaFMáster 35-39Lanzamiento de Cuerda</v>
      </c>
      <c r="H231">
        <f>COUNTIF(Canonical[Column1.id],Canonical[[#This Row],[Column1.id]])</f>
        <v>1</v>
      </c>
    </row>
    <row r="232" spans="1:8" x14ac:dyDescent="0.25">
      <c r="A232" t="s">
        <v>94</v>
      </c>
      <c r="B232" t="s">
        <v>28</v>
      </c>
      <c r="C232" t="s">
        <v>8</v>
      </c>
      <c r="D232" t="s">
        <v>23</v>
      </c>
      <c r="E232" s="5"/>
      <c r="F232" t="s">
        <v>28</v>
      </c>
      <c r="G232" t="str">
        <f>_xlfn.CONCAT(Canonical[[#This Row],[Column1.id]:[Column1.discipline]])</f>
        <v>e_lanzamiento_de_cuerda_master_35_39_mLanzamiento de CuerdaMMáster 35-39Lanzamiento de Cuerda</v>
      </c>
      <c r="H232">
        <f>COUNTIF(Canonical[Column1.id],Canonical[[#This Row],[Column1.id]])</f>
        <v>1</v>
      </c>
    </row>
    <row r="233" spans="1:8" x14ac:dyDescent="0.25">
      <c r="A233" t="s">
        <v>67</v>
      </c>
      <c r="B233" t="s">
        <v>28</v>
      </c>
      <c r="C233" t="s">
        <v>8</v>
      </c>
      <c r="D233" t="s">
        <v>25</v>
      </c>
      <c r="E233" s="5"/>
      <c r="F233" t="s">
        <v>28</v>
      </c>
      <c r="G233" t="str">
        <f>_xlfn.CONCAT(Canonical[[#This Row],[Column1.id]:[Column1.discipline]])</f>
        <v>e_lanzamiento_de_cuerda_master_40_44_mLanzamiento de CuerdaMMáster 40-44Lanzamiento de Cuerda</v>
      </c>
      <c r="H233">
        <f>COUNTIF(Canonical[Column1.id],Canonical[[#This Row],[Column1.id]])</f>
        <v>1</v>
      </c>
    </row>
    <row r="234" spans="1:8" x14ac:dyDescent="0.25">
      <c r="A234" t="s">
        <v>64</v>
      </c>
      <c r="B234" t="s">
        <v>28</v>
      </c>
      <c r="C234" t="s">
        <v>6</v>
      </c>
      <c r="D234" t="s">
        <v>26</v>
      </c>
      <c r="E234" s="5"/>
      <c r="F234" t="s">
        <v>28</v>
      </c>
      <c r="G234" t="str">
        <f>_xlfn.CONCAT(Canonical[[#This Row],[Column1.id]:[Column1.discipline]])</f>
        <v>e_lanzamiento_de_cuerda_master_45_49_fLanzamiento de CuerdaFMáster 45-49Lanzamiento de Cuerda</v>
      </c>
      <c r="H234">
        <f>COUNTIF(Canonical[Column1.id],Canonical[[#This Row],[Column1.id]])</f>
        <v>1</v>
      </c>
    </row>
    <row r="235" spans="1:8" x14ac:dyDescent="0.25">
      <c r="A235" t="s">
        <v>62</v>
      </c>
      <c r="B235" t="s">
        <v>28</v>
      </c>
      <c r="C235" t="s">
        <v>8</v>
      </c>
      <c r="D235" t="s">
        <v>26</v>
      </c>
      <c r="E235" s="5"/>
      <c r="F235" t="s">
        <v>28</v>
      </c>
      <c r="G235" t="str">
        <f>_xlfn.CONCAT(Canonical[[#This Row],[Column1.id]:[Column1.discipline]])</f>
        <v>e_lanzamiento_de_cuerda_master_45_49_mLanzamiento de CuerdaMMáster 45-49Lanzamiento de Cuerda</v>
      </c>
      <c r="H235">
        <f>COUNTIF(Canonical[Column1.id],Canonical[[#This Row],[Column1.id]])</f>
        <v>1</v>
      </c>
    </row>
    <row r="236" spans="1:8" x14ac:dyDescent="0.25">
      <c r="A236" t="s">
        <v>61</v>
      </c>
      <c r="B236" t="s">
        <v>28</v>
      </c>
      <c r="C236" t="s">
        <v>6</v>
      </c>
      <c r="D236" t="s">
        <v>24</v>
      </c>
      <c r="E236" s="5"/>
      <c r="F236" t="s">
        <v>28</v>
      </c>
      <c r="G236" t="str">
        <f>_xlfn.CONCAT(Canonical[[#This Row],[Column1.id]:[Column1.discipline]])</f>
        <v>e_lanzamiento_de_cuerda_master_50_54_fLanzamiento de CuerdaFMáster 50-54Lanzamiento de Cuerda</v>
      </c>
      <c r="H236">
        <f>COUNTIF(Canonical[Column1.id],Canonical[[#This Row],[Column1.id]])</f>
        <v>1</v>
      </c>
    </row>
    <row r="237" spans="1:8" x14ac:dyDescent="0.25">
      <c r="A237" t="s">
        <v>66</v>
      </c>
      <c r="B237" t="s">
        <v>28</v>
      </c>
      <c r="C237" t="s">
        <v>8</v>
      </c>
      <c r="D237" t="s">
        <v>24</v>
      </c>
      <c r="E237" s="5"/>
      <c r="F237" t="s">
        <v>28</v>
      </c>
      <c r="G237" t="str">
        <f>_xlfn.CONCAT(Canonical[[#This Row],[Column1.id]:[Column1.discipline]])</f>
        <v>e_lanzamiento_de_cuerda_master_50_54_mLanzamiento de CuerdaMMáster 50-54Lanzamiento de Cuerda</v>
      </c>
      <c r="H237">
        <f>COUNTIF(Canonical[Column1.id],Canonical[[#This Row],[Column1.id]])</f>
        <v>1</v>
      </c>
    </row>
    <row r="238" spans="1:8" x14ac:dyDescent="0.25">
      <c r="A238" t="s">
        <v>60</v>
      </c>
      <c r="B238" t="s">
        <v>28</v>
      </c>
      <c r="C238" t="s">
        <v>6</v>
      </c>
      <c r="D238" t="s">
        <v>17</v>
      </c>
      <c r="E238" s="5"/>
      <c r="F238" t="s">
        <v>28</v>
      </c>
      <c r="G238" t="str">
        <f>_xlfn.CONCAT(Canonical[[#This Row],[Column1.id]:[Column1.discipline]])</f>
        <v>e_lanzamiento_de_cuerda_master_55_59_fLanzamiento de CuerdaFMáster 55-59Lanzamiento de Cuerda</v>
      </c>
      <c r="H238">
        <f>COUNTIF(Canonical[Column1.id],Canonical[[#This Row],[Column1.id]])</f>
        <v>1</v>
      </c>
    </row>
    <row r="239" spans="1:8" x14ac:dyDescent="0.25">
      <c r="A239" t="s">
        <v>68</v>
      </c>
      <c r="B239" t="s">
        <v>28</v>
      </c>
      <c r="C239" t="s">
        <v>8</v>
      </c>
      <c r="D239" t="s">
        <v>17</v>
      </c>
      <c r="E239" s="5"/>
      <c r="F239" t="s">
        <v>28</v>
      </c>
      <c r="G239" t="str">
        <f>_xlfn.CONCAT(Canonical[[#This Row],[Column1.id]:[Column1.discipline]])</f>
        <v>e_lanzamiento_de_cuerda_master_55_59_mLanzamiento de CuerdaMMáster 55-59Lanzamiento de Cuerda</v>
      </c>
      <c r="H239">
        <f>COUNTIF(Canonical[Column1.id],Canonical[[#This Row],[Column1.id]])</f>
        <v>1</v>
      </c>
    </row>
    <row r="240" spans="1:8" x14ac:dyDescent="0.25">
      <c r="A240" t="s">
        <v>133</v>
      </c>
      <c r="B240" t="s">
        <v>28</v>
      </c>
      <c r="C240" t="s">
        <v>8</v>
      </c>
      <c r="D240" t="s">
        <v>27</v>
      </c>
      <c r="E240" s="5"/>
      <c r="F240" t="s">
        <v>28</v>
      </c>
      <c r="G240" t="str">
        <f>_xlfn.CONCAT(Canonical[[#This Row],[Column1.id]:[Column1.discipline]])</f>
        <v>e_lanzamiento_de_cuerda_master_60_64_mLanzamiento de CuerdaMMáster 60-64Lanzamiento de Cuerda</v>
      </c>
      <c r="H240">
        <f>COUNTIF(Canonical[Column1.id],Canonical[[#This Row],[Column1.id]])</f>
        <v>1</v>
      </c>
    </row>
  </sheetData>
  <conditionalFormatting sqref="A2:A240">
    <cfRule type="duplicateValues" dxfId="1" priority="30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64CEE87-644B-46E1-8B78-73380D91A752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Canonical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Carpintero, Mariano</dc:creator>
  <cp:lastModifiedBy>Carpintero, Mariano</cp:lastModifiedBy>
  <dcterms:created xsi:type="dcterms:W3CDTF">2026-04-17T13:28:57Z</dcterms:created>
  <dcterms:modified xsi:type="dcterms:W3CDTF">2026-04-20T15:56:42Z</dcterms:modified>
</cp:coreProperties>
</file>