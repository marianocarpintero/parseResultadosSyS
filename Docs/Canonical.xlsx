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yoffice.accenture.com/personal/mariano_carpintero_accenture_com/Documents/Documents/GitProjects/parseResultadosSyS/Docs/"/>
    </mc:Choice>
  </mc:AlternateContent>
  <xr:revisionPtr revIDLastSave="146" documentId="8_{115A196B-62E8-4772-988C-1EA78B03BBE2}" xr6:coauthVersionLast="47" xr6:coauthVersionMax="47" xr10:uidLastSave="{604D1851-5182-4C68-811A-8F0350EF9848}"/>
  <bookViews>
    <workbookView xWindow="-120" yWindow="-16320" windowWidth="29040" windowHeight="16440" xr2:uid="{6181DEB8-90EE-47C0-869A-F863C5CE917F}"/>
  </bookViews>
  <sheets>
    <sheet name="Sheet2" sheetId="3" r:id="rId1"/>
    <sheet name="Canonical" sheetId="2" r:id="rId2"/>
  </sheets>
  <definedNames>
    <definedName name="ExternalData_1" localSheetId="1" hidden="1">'Canonical'!$A$1:$F$87</definedName>
  </definedNames>
  <calcPr calcId="191029"/>
  <pivotCaches>
    <pivotCache cacheId="223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" i="2" l="1"/>
  <c r="G13" i="2"/>
  <c r="G12" i="2"/>
  <c r="G11" i="2"/>
  <c r="G7" i="2"/>
  <c r="G5" i="2"/>
  <c r="G9" i="2"/>
  <c r="G10" i="2"/>
  <c r="G8" i="2"/>
  <c r="G6" i="2"/>
  <c r="G4" i="2"/>
  <c r="G3" i="2"/>
  <c r="G23" i="2"/>
  <c r="G14" i="2"/>
  <c r="G16" i="2"/>
  <c r="G19" i="2"/>
  <c r="G21" i="2"/>
  <c r="G15" i="2"/>
  <c r="G20" i="2"/>
  <c r="G18" i="2"/>
  <c r="G22" i="2"/>
  <c r="G24" i="2"/>
  <c r="G25" i="2"/>
  <c r="G26" i="2"/>
  <c r="G17" i="2"/>
  <c r="G36" i="2"/>
  <c r="G39" i="2"/>
  <c r="G37" i="2"/>
  <c r="G35" i="2"/>
  <c r="G33" i="2"/>
  <c r="G31" i="2"/>
  <c r="G30" i="2"/>
  <c r="G28" i="2"/>
  <c r="G34" i="2"/>
  <c r="G38" i="2"/>
  <c r="G29" i="2"/>
  <c r="G27" i="2"/>
  <c r="G32" i="2"/>
  <c r="G47" i="2"/>
  <c r="G46" i="2"/>
  <c r="G44" i="2"/>
  <c r="G42" i="2"/>
  <c r="G45" i="2"/>
  <c r="G43" i="2"/>
  <c r="G40" i="2"/>
  <c r="G41" i="2"/>
  <c r="G55" i="2"/>
  <c r="G52" i="2"/>
  <c r="G50" i="2"/>
  <c r="G49" i="2"/>
  <c r="G53" i="2"/>
  <c r="G51" i="2"/>
  <c r="G48" i="2"/>
  <c r="G54" i="2"/>
  <c r="G62" i="2"/>
  <c r="G61" i="2"/>
  <c r="G59" i="2"/>
  <c r="G58" i="2"/>
  <c r="G57" i="2"/>
  <c r="G56" i="2"/>
  <c r="G60" i="2"/>
  <c r="G63" i="2"/>
  <c r="G70" i="2"/>
  <c r="G72" i="2"/>
  <c r="G64" i="2"/>
  <c r="G66" i="2"/>
  <c r="G67" i="2"/>
  <c r="G69" i="2"/>
  <c r="G68" i="2"/>
  <c r="G75" i="2"/>
  <c r="G74" i="2"/>
  <c r="G73" i="2"/>
  <c r="G71" i="2"/>
  <c r="G65" i="2"/>
  <c r="G82" i="2"/>
  <c r="G87" i="2"/>
  <c r="G84" i="2"/>
  <c r="G76" i="2"/>
  <c r="G81" i="2"/>
  <c r="G83" i="2"/>
  <c r="G85" i="2"/>
  <c r="G86" i="2"/>
  <c r="G79" i="2"/>
  <c r="G80" i="2"/>
  <c r="G78" i="2"/>
  <c r="G77" i="2"/>
  <c r="H2" i="2"/>
  <c r="H13" i="2"/>
  <c r="H12" i="2"/>
  <c r="H11" i="2"/>
  <c r="H7" i="2"/>
  <c r="H5" i="2"/>
  <c r="H9" i="2"/>
  <c r="H10" i="2"/>
  <c r="H8" i="2"/>
  <c r="H6" i="2"/>
  <c r="H4" i="2"/>
  <c r="H3" i="2"/>
  <c r="H23" i="2"/>
  <c r="H14" i="2"/>
  <c r="H16" i="2"/>
  <c r="H19" i="2"/>
  <c r="H21" i="2"/>
  <c r="H15" i="2"/>
  <c r="H20" i="2"/>
  <c r="H18" i="2"/>
  <c r="H22" i="2"/>
  <c r="H24" i="2"/>
  <c r="H25" i="2"/>
  <c r="H26" i="2"/>
  <c r="H17" i="2"/>
  <c r="H36" i="2"/>
  <c r="H39" i="2"/>
  <c r="H37" i="2"/>
  <c r="H35" i="2"/>
  <c r="H33" i="2"/>
  <c r="H31" i="2"/>
  <c r="H30" i="2"/>
  <c r="H28" i="2"/>
  <c r="H34" i="2"/>
  <c r="H38" i="2"/>
  <c r="H29" i="2"/>
  <c r="H27" i="2"/>
  <c r="H32" i="2"/>
  <c r="H47" i="2"/>
  <c r="H46" i="2"/>
  <c r="H44" i="2"/>
  <c r="H42" i="2"/>
  <c r="H45" i="2"/>
  <c r="H43" i="2"/>
  <c r="H40" i="2"/>
  <c r="H41" i="2"/>
  <c r="H55" i="2"/>
  <c r="H52" i="2"/>
  <c r="H50" i="2"/>
  <c r="H49" i="2"/>
  <c r="H53" i="2"/>
  <c r="H51" i="2"/>
  <c r="H48" i="2"/>
  <c r="H54" i="2"/>
  <c r="H62" i="2"/>
  <c r="H61" i="2"/>
  <c r="H59" i="2"/>
  <c r="H58" i="2"/>
  <c r="H57" i="2"/>
  <c r="H56" i="2"/>
  <c r="H60" i="2"/>
  <c r="H63" i="2"/>
  <c r="H70" i="2"/>
  <c r="H72" i="2"/>
  <c r="H64" i="2"/>
  <c r="H66" i="2"/>
  <c r="H67" i="2"/>
  <c r="H69" i="2"/>
  <c r="H68" i="2"/>
  <c r="H75" i="2"/>
  <c r="H74" i="2"/>
  <c r="H73" i="2"/>
  <c r="H71" i="2"/>
  <c r="H65" i="2"/>
  <c r="H82" i="2"/>
  <c r="H87" i="2"/>
  <c r="H84" i="2"/>
  <c r="H76" i="2"/>
  <c r="H81" i="2"/>
  <c r="H83" i="2"/>
  <c r="H85" i="2"/>
  <c r="H86" i="2"/>
  <c r="H79" i="2"/>
  <c r="H80" i="2"/>
  <c r="H78" i="2"/>
  <c r="H77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CCCF78A-7467-4D58-87AB-C5CF5901BFA5}" keepAlive="1" name="Query - Canonical" description="Connection to the 'Canonical' query in the workbook." type="5" refreshedVersion="8" background="1" saveData="1">
    <dbPr connection="Provider=Microsoft.Mashup.OleDb.1;Data Source=$Workbook$;Location=Canonical;Extended Properties=&quot;&quot;" command="SELECT * FROM [Canonical]"/>
  </connection>
</connections>
</file>

<file path=xl/sharedStrings.xml><?xml version="1.0" encoding="utf-8"?>
<sst xmlns="http://schemas.openxmlformats.org/spreadsheetml/2006/main" count="629" uniqueCount="135">
  <si>
    <t>Column1.id</t>
  </si>
  <si>
    <t>Column1.base</t>
  </si>
  <si>
    <t>Column1.sex</t>
  </si>
  <si>
    <t>Column1.category</t>
  </si>
  <si>
    <t>Column1.distance_m</t>
  </si>
  <si>
    <t>Column1.discipline</t>
  </si>
  <si>
    <t>F</t>
  </si>
  <si>
    <t>Natación con Obstáculos</t>
  </si>
  <si>
    <t>M</t>
  </si>
  <si>
    <t>Socorrista</t>
  </si>
  <si>
    <t>Remolque de Maniquí</t>
  </si>
  <si>
    <t>Remolque de Maniquí con Aletas</t>
  </si>
  <si>
    <t>100 m Natación con Obstáculos</t>
  </si>
  <si>
    <t>100 m Socorrista</t>
  </si>
  <si>
    <t>50 m Remolque de Maniquí</t>
  </si>
  <si>
    <t>100 m Remolque de Maniquí con Aletas</t>
  </si>
  <si>
    <t>e_100_m_natacion_con_obstaculos_master_55_59_m</t>
  </si>
  <si>
    <t>Máster 55-59</t>
  </si>
  <si>
    <t>4x25</t>
  </si>
  <si>
    <t>Relevo Natación con Obstáculos</t>
  </si>
  <si>
    <t>Relevo Remolque de Maniquí</t>
  </si>
  <si>
    <t>Relevo Combinado</t>
  </si>
  <si>
    <t>Máster 30-34</t>
  </si>
  <si>
    <t>Máster 35-39</t>
  </si>
  <si>
    <t>Máster 50-54</t>
  </si>
  <si>
    <t>Máster 40-44</t>
  </si>
  <si>
    <t>Máster 45-49</t>
  </si>
  <si>
    <t>Máster 60-64</t>
  </si>
  <si>
    <t>Lanzamiento de Cuerda</t>
  </si>
  <si>
    <t>4x50 m Relevo Natación con Obstáculos</t>
  </si>
  <si>
    <t>Máster R4 +170</t>
  </si>
  <si>
    <t>4x50</t>
  </si>
  <si>
    <t>Máster R4 +200</t>
  </si>
  <si>
    <t>Máster R4 +140</t>
  </si>
  <si>
    <t>Máster R4 +230</t>
  </si>
  <si>
    <t>4x25 m Relevo Remolque de Maniquí</t>
  </si>
  <si>
    <t>4x50 m Relevo Combinado</t>
  </si>
  <si>
    <t>100</t>
  </si>
  <si>
    <t>50</t>
  </si>
  <si>
    <t>Duplicates</t>
  </si>
  <si>
    <t>Concatenate</t>
  </si>
  <si>
    <t>Row Labels</t>
  </si>
  <si>
    <t>Grand Total</t>
  </si>
  <si>
    <t>(blank)</t>
  </si>
  <si>
    <t>Disciplina</t>
  </si>
  <si>
    <t>Base</t>
  </si>
  <si>
    <t>Categoría</t>
  </si>
  <si>
    <t>Distancia</t>
  </si>
  <si>
    <t>e_100_m_natacion_con_obstaculos_master_60_64_m</t>
  </si>
  <si>
    <t>e_100_m_natacion_con_obstaculos_master_55_59_f</t>
  </si>
  <si>
    <t>e_100_m_socorrista_master_50_54_f</t>
  </si>
  <si>
    <t>e_100_m_socorrista_master_55_59_f</t>
  </si>
  <si>
    <t>e_100_m_socorrista_master_30_34_f</t>
  </si>
  <si>
    <t>e_100_m_socorrista_master_60_64_m</t>
  </si>
  <si>
    <t>e_100_m_socorrista_master_45_49_m</t>
  </si>
  <si>
    <t>e_100_m_socorrista_master_40_44_m</t>
  </si>
  <si>
    <t>e_100_m_socorrista_master_50_54_m</t>
  </si>
  <si>
    <t>e_100_m_socorrista_master_55_59_m</t>
  </si>
  <si>
    <t>e_4x50_m_relevo_combinado_master_r4_170_m</t>
  </si>
  <si>
    <t>e_4x50_m_relevo_natacion_con_obstaculos_master_r4_230_m</t>
  </si>
  <si>
    <t>e_lanzamiento_de_cuerda_master_55_59_f</t>
  </si>
  <si>
    <t>e_lanzamiento_de_cuerda_master_50_54_f</t>
  </si>
  <si>
    <t>e_lanzamiento_de_cuerda_master_45_49_m</t>
  </si>
  <si>
    <t>e_lanzamiento_de_cuerda_master_30_34_f</t>
  </si>
  <si>
    <t>e_lanzamiento_de_cuerda_master_45_49_f</t>
  </si>
  <si>
    <t>e_lanzamiento_de_cuerda_master_30_34_m</t>
  </si>
  <si>
    <t>e_lanzamiento_de_cuerda_master_50_54_m</t>
  </si>
  <si>
    <t>e_lanzamiento_de_cuerda_master_40_44_m</t>
  </si>
  <si>
    <t>e_lanzamiento_de_cuerda_master_55_59_m</t>
  </si>
  <si>
    <t>e_100_m_remolque_de_maniqui_con_aletas_master_55_59_m</t>
  </si>
  <si>
    <t>e_100_m_remolque_de_maniqui_con_aletas_master_50_54_m</t>
  </si>
  <si>
    <t>e_100_m_remolque_de_maniqui_con_aletas_master_55_59_f</t>
  </si>
  <si>
    <t>e_100_m_remolque_de_maniqui_con_aletas_master_50_54_f</t>
  </si>
  <si>
    <t>e_100_m_remolque_de_maniqui_con_aletas_master_30_34_f</t>
  </si>
  <si>
    <t>e_100_m_remolque_de_maniqui_con_aletas_master_60_64_m</t>
  </si>
  <si>
    <t>e_100_m_remolque_de_maniqui_con_aletas_master_45_49_m</t>
  </si>
  <si>
    <t>e_100_m_remolque_de_maniqui_con_aletas_master_40_44_m</t>
  </si>
  <si>
    <t>e_4x25_m_relevo_remolque_de_maniqui_master_r4_200_f</t>
  </si>
  <si>
    <t>e_4x25_m_relevo_remolque_de_maniqui_master_r4_170_m</t>
  </si>
  <si>
    <t>e_4x25_m_relevo_remolque_de_maniqui_master_r4_200_m</t>
  </si>
  <si>
    <t>e_50_m_remolque_de_maniqui_master_45_49_m</t>
  </si>
  <si>
    <t>e_50_m_remolque_de_maniqui_master_30_34_m</t>
  </si>
  <si>
    <t>e_50_m_remolque_de_maniqui_master_55_59_m</t>
  </si>
  <si>
    <t>e_50_m_remolque_de_maniqui_master_50_54_m</t>
  </si>
  <si>
    <t>e_50_m_remolque_de_maniqui_master_40_44_m</t>
  </si>
  <si>
    <t>e_50_m_remolque_de_maniqui_master_50_54_f</t>
  </si>
  <si>
    <t>e_50_m_remolque_de_maniqui_master_55_59_f</t>
  </si>
  <si>
    <t>e_50_m_remolque_de_maniqui_master_30_34_f</t>
  </si>
  <si>
    <t>e_100_m_remolque_de_maniqui_con_aletas_master_30_34_m</t>
  </si>
  <si>
    <t>e_100_m_socorrista_master_30_34_m</t>
  </si>
  <si>
    <t>e_100_m_socorrista_master_45_49_f</t>
  </si>
  <si>
    <t>e_4x25_m_relevo_remolque_de_maniqui_master_r4_170_f</t>
  </si>
  <si>
    <t>e_4x50_m_relevo_combinado_master_r4_170_f</t>
  </si>
  <si>
    <t>e_4x50_m_relevo_natacion_con_obstaculos_master_r4_170_m</t>
  </si>
  <si>
    <t>e_lanzamiento_de_cuerda_master_35_39_m</t>
  </si>
  <si>
    <t>e_100_m_natacion_con_obstaculos_master_70_74_m</t>
  </si>
  <si>
    <t>Máster 70-74</t>
  </si>
  <si>
    <t>e_100_m_natacion_con_obstaculos_master_45_49_f</t>
  </si>
  <si>
    <t>e_100_m_natacion_con_obstaculos_master_35_39_f</t>
  </si>
  <si>
    <t>e_100_m_natacion_con_obstaculos_master_30_34_f</t>
  </si>
  <si>
    <t>e_100_m_natacion_con_obstaculos_master_50_54_f</t>
  </si>
  <si>
    <t>e_100_m_natacion_con_obstaculos_master_30_34_m</t>
  </si>
  <si>
    <t>e_100_m_natacion_con_obstaculos_master_35_39_m</t>
  </si>
  <si>
    <t>e_100_m_natacion_con_obstaculos_master_45_49_m</t>
  </si>
  <si>
    <t>e_100_m_natacion_con_obstaculos_master_50_54_m</t>
  </si>
  <si>
    <t>e_100_m_remolque_de_maniqui_con_aletas_master_70_74_m</t>
  </si>
  <si>
    <t>e_100_m_remolque_de_maniqui_con_aletas_master_35_39_f</t>
  </si>
  <si>
    <t>e_100_m_remolque_de_maniqui_con_aletas_master_35_39_m</t>
  </si>
  <si>
    <t>e_100_m_remolque_de_maniqui_con_aletas_master_45_49_f</t>
  </si>
  <si>
    <t>e_100_m_socorrista_master_70_74_m</t>
  </si>
  <si>
    <t>e_100_m_socorrista_master_35_39_m</t>
  </si>
  <si>
    <t>e_100_m_socorrista_master_35_39_f</t>
  </si>
  <si>
    <t>e_4x25_m_relevo_remolque_de_maniqui_master_r4_120_m</t>
  </si>
  <si>
    <t>Máster R4 +120</t>
  </si>
  <si>
    <t>e_4x25_m_relevo_remolque_de_maniqui_master_r4_140_m</t>
  </si>
  <si>
    <t>e_4x25_m_relevo_remolque_de_maniqui_master_r4_120_f</t>
  </si>
  <si>
    <t>e_4x25_m_relevo_remolque_de_maniqui_master_r4_230_m</t>
  </si>
  <si>
    <t>e_4x50_m_relevo_combinado_master_r4_120_f</t>
  </si>
  <si>
    <t>e_4x50_m_relevo_combinado_master_r4_120_m</t>
  </si>
  <si>
    <t>e_4x50_m_relevo_combinado_master_r4_200_f</t>
  </si>
  <si>
    <t>e_4x50_m_relevo_combinado_master_r4_140_m</t>
  </si>
  <si>
    <t>e_4x50_m_relevo_combinado_master_r4_200_m</t>
  </si>
  <si>
    <t>e_4x50_m_relevo_combinado_master_r4_230_m</t>
  </si>
  <si>
    <t>e_4x50_m_relevo_natacion_con_obstaculos_master_r4_200_m</t>
  </si>
  <si>
    <t>e_4x50_m_relevo_natacion_con_obstaculos_master_r4_120_m</t>
  </si>
  <si>
    <t>e_4x50_m_relevo_natacion_con_obstaculos_master_r4_200_f</t>
  </si>
  <si>
    <t>e_4x50_m_relevo_natacion_con_obstaculos_master_r4_120_f</t>
  </si>
  <si>
    <t>e_4x50_m_relevo_natacion_con_obstaculos_master_r4_140_m</t>
  </si>
  <si>
    <t>e_50_m_remolque_de_maniqui_master_35_39_m</t>
  </si>
  <si>
    <t>e_50_m_remolque_de_maniqui_master_35_39_f</t>
  </si>
  <si>
    <t>e_50_m_remolque_de_maniqui_master_60_64_m</t>
  </si>
  <si>
    <t>e_50_m_remolque_de_maniqui_master_45_49_f</t>
  </si>
  <si>
    <t>e_50_m_remolque_de_maniqui_master_70_74_m</t>
  </si>
  <si>
    <t>e_lanzamiento_de_cuerda_master_60_64_m</t>
  </si>
  <si>
    <t>e_lanzamiento_de_cuerda_master_35_39_f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</si>
</sst>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0" fontId="0" fillId="0" borderId="0" xfId="0" applyNumberFormat="1"/>
  </cellXfs>
  <cellStyles count="1">
    <cellStyle name="Normal" xfId="0" builtinId="0"/>
  </cellStyles>
  <dxfs count="2">
    <dxf>
      <numFmt numFmtId="0" formatCode="General"/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arpintero, Mariano" refreshedDate="46129.929506018518" createdVersion="8" refreshedVersion="8" minRefreshableVersion="3" recordCount="86" xr:uid="{1C52C30D-4CDF-4895-969E-22294F4AEE89}">
  <cacheSource type="worksheet">
    <worksheetSource name="Canonical"/>
  </cacheSource>
  <cacheFields count="8">
    <cacheField name="Column1.id" numFmtId="0">
      <sharedItems/>
    </cacheField>
    <cacheField name="Column1.base" numFmtId="0">
      <sharedItems count="43">
        <s v="100 m Natación con Obstáculos"/>
        <s v="100 m Remolque de Maniquí con Aletas"/>
        <s v="100 m Socorrista"/>
        <s v="4x25 m Relevo Remolque de Maniquí"/>
        <s v="4x50 m Relevo Combinado"/>
        <s v="4x50 m Relevo Natación con Obstáculos"/>
        <s v="50 m Remolque de Maniquí"/>
        <s v="Lanzamiento de Cuerda"/>
        <s v="100 m Combinada de Salvamento" u="1"/>
        <s v="100 m Remolque de Maniquí con Aletas de Goma" u="1"/>
        <s v="100 m Supersocorrista" u="1"/>
        <s v="200 m Natación con Obstáculos" u="1"/>
        <s v="200 m Supersocorrista" u="1"/>
        <s v="25 m Remolque de Maniquí" u="1"/>
        <s v="4x12,5 m Relevo Remolque de Maniquí" u="1"/>
        <s v="4x25 m" u="1"/>
        <s v="4x25 m Relevo Combinado" u="1"/>
        <s v="4x25 m Relevo Natación con Obstáculos" u="1"/>
        <s v="4x25 m Relevo Socorrista" u="1"/>
        <s v="4x50 m" u="1"/>
        <s v="4x50 m Relevo . 4x50 M. Combinado" u="1"/>
        <s v="4x50 m Relevo Natación con Aletas" u="1"/>
        <s v="50 m Combinada de Salvamento" u="1"/>
        <s v="50 m Natación con Obstáculos" u="1"/>
        <s v="50 m Remolque de Maniquí con Aletas" u="1"/>
        <s v="50 m Socorrista" u="1"/>
        <s v="100 m Remolque de Maniquí" u="1"/>
        <s v="4x50 m Relevo Combinado F (relevos)" u="1"/>
        <s v="4x50 m Relevo Socorrista" u="1"/>
        <s v="Unknown" u="1"/>
        <s v="100 m Arrastre de Maniquí" u="1"/>
        <s v="100 m Combinada Salvamento" u="1"/>
        <s v="200 m Socorrista" u="1"/>
        <s v="25 m Arrastre de Maniquí" u="1"/>
        <s v="4x12,5 m Relevo Arrastre de Maniquí" u="1"/>
        <s v="4x25 m Relevo Arrastre de Maniquí" u="1"/>
        <s v="50 m Arrastre de Maniquí" u="1"/>
        <s v="50 m Combinada" u="1"/>
        <s v="50 m Combinada Salvamento" u="1"/>
        <s v="100 m Remolque de Maniquí Pequeño con Aletas" u="1"/>
        <s v="50 m Remolque de Maniquí Pequeño" u="1"/>
        <s v="4x12,5 m Relevo Remolque Maniquí" u="1"/>
        <s v="4x25 m Relevo Remolque Maniquí" u="1"/>
      </sharedItems>
    </cacheField>
    <cacheField name="Column1.sex" numFmtId="0">
      <sharedItems/>
    </cacheField>
    <cacheField name="Column1.category" numFmtId="0">
      <sharedItems count="40">
        <s v="Máster 30-34"/>
        <s v="Máster 35-39"/>
        <s v="Máster 45-49"/>
        <s v="Máster 50-54"/>
        <s v="Máster 55-59"/>
        <s v="Máster 60-64"/>
        <s v="Máster 70-74"/>
        <s v="Máster 40-44"/>
        <s v="Máster R4 +120"/>
        <s v="Máster R4 +140"/>
        <s v="Máster R4 +170"/>
        <s v="Máster R4 +200"/>
        <s v="Máster R4 +230"/>
        <s v="Máster +170" u="1"/>
        <s v="Máster +200" u="1"/>
        <s v="Máster +230" u="1"/>
        <s v="Absoluta" u="1"/>
        <s v="Cadete" u="1"/>
        <s v="Júnior" u="1"/>
        <s v="Juvenil" u="1"/>
        <s v="Infantil" u="1"/>
        <s v="Máster 30-39" u="1"/>
        <s v="Máster 40-49" u="1"/>
        <s v="Máster 50-59" u="1"/>
        <s v="Máster 60-69" u="1"/>
        <s v="Junior" u="1"/>
        <s v="Juvenil - Junior" u="1"/>
        <s v="Máster 65-69" u="1"/>
        <s v="Máster +55" u="1"/>
        <s v="máster 30-3(cid:23)" u="1"/>
        <s v="máster 60+64" u="1"/>
        <s v="máster 30-44" u="1"/>
        <s v="máster R4 +2(cid:22)0 M(cid:3)máster" u="1"/>
        <s v="máster R4 +200 M(cid:3)máster" u="1"/>
        <s v="máster R4 +170 máster" u="1"/>
        <s v="máster R4 +200 máster" u="1"/>
        <s v="Master 60-64" u="1"/>
        <s v="máster 60(cid:16)(cid:25)(cid:23)(cid:3)(cid:48)" u="1"/>
        <s v="Máster &gt; 70" u="1"/>
        <s v="Máster" u="1"/>
      </sharedItems>
    </cacheField>
    <cacheField name="Column1.distance_m" numFmtId="0">
      <sharedItems containsBlank="1" containsMixedTypes="1" containsNumber="1" containsInteger="1" minValue="25" maxValue="200" count="9">
        <s v="100"/>
        <s v="4x25"/>
        <s v="4x50"/>
        <s v="50"/>
        <m/>
        <n v="50" u="1"/>
        <n v="100" u="1"/>
        <n v="25" u="1"/>
        <n v="200" u="1"/>
      </sharedItems>
    </cacheField>
    <cacheField name="Column1.discipline" numFmtId="0">
      <sharedItems count="24">
        <s v="Natación con Obstáculos"/>
        <s v="Remolque de Maniquí con Aletas"/>
        <s v="Socorrista"/>
        <s v="Relevo Remolque de Maniquí"/>
        <s v="Relevo Combinado"/>
        <s v="Relevo Natación con Obstáculos"/>
        <s v="Remolque de Maniquí"/>
        <s v="Lanzamiento de Cuerda"/>
        <s v="Combinada de Salvamento" u="1"/>
        <s v="Remolque de Maniquí con Aletas de Goma" u="1"/>
        <s v="Supersocorrista" u="1"/>
        <s v="" u="1"/>
        <s v="Relevo Socorrista" u="1"/>
        <s v="Relevo . 4x50 M. Combinado" u="1"/>
        <s v="Relevo Natación con Aletas" u="1"/>
        <s v="Relevo Combinado F (relevos)" u="1"/>
        <s v="Unknown" u="1"/>
        <s v="Arrastre de Maniquí" u="1"/>
        <s v="Combinada Salvamento" u="1"/>
        <s v="Relevo Arrastre de Maniquí" u="1"/>
        <s v="Combinada" u="1"/>
        <s v="Remolque de Maniquí Pequeño con Aletas" u="1"/>
        <s v="Remolque de Maniquí Pequeño" u="1"/>
        <s v="Relevo Remolque Maniquí" u="1"/>
      </sharedItems>
    </cacheField>
    <cacheField name="Concatenate" numFmtId="0">
      <sharedItems/>
    </cacheField>
    <cacheField name="Duplicates" numFmtId="0">
      <sharedItems containsSemiMixedTypes="0" containsString="0" containsNumber="1" containsInteger="1" minValue="1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6">
  <r>
    <s v="e_100_m_natacion_con_obstaculos_master_30_34_f"/>
    <x v="0"/>
    <s v="F"/>
    <x v="0"/>
    <x v="0"/>
    <x v="0"/>
    <s v="e_100_m_natacion_con_obstaculos_master_30_34_f100 m Natación con ObstáculosFMáster 30-34100Natación con Obstáculos"/>
    <n v="1"/>
  </r>
  <r>
    <s v="e_100_m_natacion_con_obstaculos_master_30_34_m"/>
    <x v="0"/>
    <s v="M"/>
    <x v="0"/>
    <x v="0"/>
    <x v="0"/>
    <s v="e_100_m_natacion_con_obstaculos_master_30_34_m100 m Natación con ObstáculosMMáster 30-34100Natación con Obstáculos"/>
    <n v="1"/>
  </r>
  <r>
    <s v="e_100_m_natacion_con_obstaculos_master_35_39_f"/>
    <x v="0"/>
    <s v="F"/>
    <x v="1"/>
    <x v="0"/>
    <x v="0"/>
    <s v="e_100_m_natacion_con_obstaculos_master_35_39_f100 m Natación con ObstáculosFMáster 35-39100Natación con Obstáculos"/>
    <n v="1"/>
  </r>
  <r>
    <s v="e_100_m_natacion_con_obstaculos_master_35_39_m"/>
    <x v="0"/>
    <s v="M"/>
    <x v="1"/>
    <x v="0"/>
    <x v="0"/>
    <s v="e_100_m_natacion_con_obstaculos_master_35_39_m100 m Natación con ObstáculosMMáster 35-39100Natación con Obstáculos"/>
    <n v="1"/>
  </r>
  <r>
    <s v="e_100_m_natacion_con_obstaculos_master_45_49_f"/>
    <x v="0"/>
    <s v="F"/>
    <x v="2"/>
    <x v="0"/>
    <x v="0"/>
    <s v="e_100_m_natacion_con_obstaculos_master_45_49_f100 m Natación con ObstáculosFMáster 45-49100Natación con Obstáculos"/>
    <n v="1"/>
  </r>
  <r>
    <s v="e_100_m_natacion_con_obstaculos_master_45_49_m"/>
    <x v="0"/>
    <s v="M"/>
    <x v="2"/>
    <x v="0"/>
    <x v="0"/>
    <s v="e_100_m_natacion_con_obstaculos_master_45_49_m100 m Natación con ObstáculosMMáster 45-49100Natación con Obstáculos"/>
    <n v="1"/>
  </r>
  <r>
    <s v="e_100_m_natacion_con_obstaculos_master_50_54_f"/>
    <x v="0"/>
    <s v="F"/>
    <x v="3"/>
    <x v="0"/>
    <x v="0"/>
    <s v="e_100_m_natacion_con_obstaculos_master_50_54_f100 m Natación con ObstáculosFMáster 50-54100Natación con Obstáculos"/>
    <n v="1"/>
  </r>
  <r>
    <s v="e_100_m_natacion_con_obstaculos_master_50_54_m"/>
    <x v="0"/>
    <s v="M"/>
    <x v="3"/>
    <x v="0"/>
    <x v="0"/>
    <s v="e_100_m_natacion_con_obstaculos_master_50_54_m100 m Natación con ObstáculosMMáster 50-54100Natación con Obstáculos"/>
    <n v="1"/>
  </r>
  <r>
    <s v="e_100_m_natacion_con_obstaculos_master_55_59_f"/>
    <x v="0"/>
    <s v="F"/>
    <x v="4"/>
    <x v="0"/>
    <x v="0"/>
    <s v="e_100_m_natacion_con_obstaculos_master_55_59_f100 m Natación con ObstáculosFMáster 55-59100Natación con Obstáculos"/>
    <n v="1"/>
  </r>
  <r>
    <s v="e_100_m_natacion_con_obstaculos_master_55_59_m"/>
    <x v="0"/>
    <s v="M"/>
    <x v="4"/>
    <x v="0"/>
    <x v="0"/>
    <s v="e_100_m_natacion_con_obstaculos_master_55_59_m100 m Natación con ObstáculosMMáster 55-59100Natación con Obstáculos"/>
    <n v="1"/>
  </r>
  <r>
    <s v="e_100_m_natacion_con_obstaculos_master_60_64_m"/>
    <x v="0"/>
    <s v="M"/>
    <x v="5"/>
    <x v="0"/>
    <x v="0"/>
    <s v="e_100_m_natacion_con_obstaculos_master_60_64_m100 m Natación con ObstáculosMMáster 60-64100Natación con Obstáculos"/>
    <n v="1"/>
  </r>
  <r>
    <s v="e_100_m_natacion_con_obstaculos_master_70_74_m"/>
    <x v="0"/>
    <s v="M"/>
    <x v="6"/>
    <x v="0"/>
    <x v="0"/>
    <s v="e_100_m_natacion_con_obstaculos_master_70_74_m100 m Natación con ObstáculosMMáster 70-74100Natación con Obstáculos"/>
    <n v="1"/>
  </r>
  <r>
    <s v="e_100_m_remolque_de_maniqui_con_aletas_master_30_34_f"/>
    <x v="1"/>
    <s v="F"/>
    <x v="0"/>
    <x v="0"/>
    <x v="1"/>
    <s v="e_100_m_remolque_de_maniqui_con_aletas_master_30_34_f100 m Remolque de Maniquí con AletasFMáster 30-34100Remolque de Maniquí con Aletas"/>
    <n v="1"/>
  </r>
  <r>
    <s v="e_100_m_remolque_de_maniqui_con_aletas_master_30_34_m"/>
    <x v="1"/>
    <s v="M"/>
    <x v="0"/>
    <x v="0"/>
    <x v="1"/>
    <s v="e_100_m_remolque_de_maniqui_con_aletas_master_30_34_m100 m Remolque de Maniquí con AletasMMáster 30-34100Remolque de Maniquí con Aletas"/>
    <n v="1"/>
  </r>
  <r>
    <s v="e_100_m_remolque_de_maniqui_con_aletas_master_35_39_f"/>
    <x v="1"/>
    <s v="F"/>
    <x v="1"/>
    <x v="0"/>
    <x v="1"/>
    <s v="e_100_m_remolque_de_maniqui_con_aletas_master_35_39_f100 m Remolque de Maniquí con AletasFMáster 35-39100Remolque de Maniquí con Aletas"/>
    <n v="1"/>
  </r>
  <r>
    <s v="e_100_m_remolque_de_maniqui_con_aletas_master_35_39_m"/>
    <x v="1"/>
    <s v="M"/>
    <x v="1"/>
    <x v="0"/>
    <x v="1"/>
    <s v="e_100_m_remolque_de_maniqui_con_aletas_master_35_39_m100 m Remolque de Maniquí con AletasMMáster 35-39100Remolque de Maniquí con Aletas"/>
    <n v="1"/>
  </r>
  <r>
    <s v="e_100_m_remolque_de_maniqui_con_aletas_master_40_44_m"/>
    <x v="1"/>
    <s v="M"/>
    <x v="7"/>
    <x v="0"/>
    <x v="1"/>
    <s v="e_100_m_remolque_de_maniqui_con_aletas_master_40_44_m100 m Remolque de Maniquí con AletasMMáster 40-44100Remolque de Maniquí con Aletas"/>
    <n v="1"/>
  </r>
  <r>
    <s v="e_100_m_remolque_de_maniqui_con_aletas_master_45_49_f"/>
    <x v="1"/>
    <s v="F"/>
    <x v="2"/>
    <x v="0"/>
    <x v="1"/>
    <s v="e_100_m_remolque_de_maniqui_con_aletas_master_45_49_f100 m Remolque de Maniquí con AletasFMáster 45-49100Remolque de Maniquí con Aletas"/>
    <n v="1"/>
  </r>
  <r>
    <s v="e_100_m_remolque_de_maniqui_con_aletas_master_45_49_m"/>
    <x v="1"/>
    <s v="M"/>
    <x v="2"/>
    <x v="0"/>
    <x v="1"/>
    <s v="e_100_m_remolque_de_maniqui_con_aletas_master_45_49_m100 m Remolque de Maniquí con AletasMMáster 45-49100Remolque de Maniquí con Aletas"/>
    <n v="1"/>
  </r>
  <r>
    <s v="e_100_m_remolque_de_maniqui_con_aletas_master_50_54_f"/>
    <x v="1"/>
    <s v="F"/>
    <x v="3"/>
    <x v="0"/>
    <x v="1"/>
    <s v="e_100_m_remolque_de_maniqui_con_aletas_master_50_54_f100 m Remolque de Maniquí con AletasFMáster 50-54100Remolque de Maniquí con Aletas"/>
    <n v="1"/>
  </r>
  <r>
    <s v="e_100_m_remolque_de_maniqui_con_aletas_master_50_54_m"/>
    <x v="1"/>
    <s v="M"/>
    <x v="3"/>
    <x v="0"/>
    <x v="1"/>
    <s v="e_100_m_remolque_de_maniqui_con_aletas_master_50_54_m100 m Remolque de Maniquí con AletasMMáster 50-54100Remolque de Maniquí con Aletas"/>
    <n v="1"/>
  </r>
  <r>
    <s v="e_100_m_remolque_de_maniqui_con_aletas_master_55_59_f"/>
    <x v="1"/>
    <s v="F"/>
    <x v="4"/>
    <x v="0"/>
    <x v="1"/>
    <s v="e_100_m_remolque_de_maniqui_con_aletas_master_55_59_f100 m Remolque de Maniquí con AletasFMáster 55-59100Remolque de Maniquí con Aletas"/>
    <n v="1"/>
  </r>
  <r>
    <s v="e_100_m_remolque_de_maniqui_con_aletas_master_55_59_m"/>
    <x v="1"/>
    <s v="M"/>
    <x v="4"/>
    <x v="0"/>
    <x v="1"/>
    <s v="e_100_m_remolque_de_maniqui_con_aletas_master_55_59_m100 m Remolque de Maniquí con AletasMMáster 55-59100Remolque de Maniquí con Aletas"/>
    <n v="1"/>
  </r>
  <r>
    <s v="e_100_m_remolque_de_maniqui_con_aletas_master_60_64_m"/>
    <x v="1"/>
    <s v="M"/>
    <x v="5"/>
    <x v="0"/>
    <x v="1"/>
    <s v="e_100_m_remolque_de_maniqui_con_aletas_master_60_64_m100 m Remolque de Maniquí con AletasMMáster 60-64100Remolque de Maniquí con Aletas"/>
    <n v="1"/>
  </r>
  <r>
    <s v="e_100_m_remolque_de_maniqui_con_aletas_master_70_74_m"/>
    <x v="1"/>
    <s v="M"/>
    <x v="6"/>
    <x v="0"/>
    <x v="1"/>
    <s v="e_100_m_remolque_de_maniqui_con_aletas_master_70_74_m100 m Remolque de Maniquí con AletasMMáster 70-74100Remolque de Maniquí con Aletas"/>
    <n v="1"/>
  </r>
  <r>
    <s v="e_100_m_socorrista_master_30_34_f"/>
    <x v="2"/>
    <s v="F"/>
    <x v="0"/>
    <x v="0"/>
    <x v="2"/>
    <s v="e_100_m_socorrista_master_30_34_f100 m SocorristaFMáster 30-34100Socorrista"/>
    <n v="1"/>
  </r>
  <r>
    <s v="e_100_m_socorrista_master_30_34_m"/>
    <x v="2"/>
    <s v="M"/>
    <x v="0"/>
    <x v="0"/>
    <x v="2"/>
    <s v="e_100_m_socorrista_master_30_34_m100 m SocorristaMMáster 30-34100Socorrista"/>
    <n v="1"/>
  </r>
  <r>
    <s v="e_100_m_socorrista_master_35_39_f"/>
    <x v="2"/>
    <s v="F"/>
    <x v="1"/>
    <x v="0"/>
    <x v="2"/>
    <s v="e_100_m_socorrista_master_35_39_f100 m SocorristaFMáster 35-39100Socorrista"/>
    <n v="1"/>
  </r>
  <r>
    <s v="e_100_m_socorrista_master_35_39_m"/>
    <x v="2"/>
    <s v="M"/>
    <x v="1"/>
    <x v="0"/>
    <x v="2"/>
    <s v="e_100_m_socorrista_master_35_39_m100 m SocorristaMMáster 35-39100Socorrista"/>
    <n v="1"/>
  </r>
  <r>
    <s v="e_100_m_socorrista_master_40_44_m"/>
    <x v="2"/>
    <s v="M"/>
    <x v="7"/>
    <x v="0"/>
    <x v="2"/>
    <s v="e_100_m_socorrista_master_40_44_m100 m SocorristaMMáster 40-44100Socorrista"/>
    <n v="1"/>
  </r>
  <r>
    <s v="e_100_m_socorrista_master_45_49_f"/>
    <x v="2"/>
    <s v="F"/>
    <x v="2"/>
    <x v="0"/>
    <x v="2"/>
    <s v="e_100_m_socorrista_master_45_49_f100 m SocorristaFMáster 45-49100Socorrista"/>
    <n v="1"/>
  </r>
  <r>
    <s v="e_100_m_socorrista_master_45_49_m"/>
    <x v="2"/>
    <s v="M"/>
    <x v="2"/>
    <x v="0"/>
    <x v="2"/>
    <s v="e_100_m_socorrista_master_45_49_m100 m SocorristaMMáster 45-49100Socorrista"/>
    <n v="1"/>
  </r>
  <r>
    <s v="e_100_m_socorrista_master_50_54_f"/>
    <x v="2"/>
    <s v="F"/>
    <x v="3"/>
    <x v="0"/>
    <x v="2"/>
    <s v="e_100_m_socorrista_master_50_54_f100 m SocorristaFMáster 50-54100Socorrista"/>
    <n v="1"/>
  </r>
  <r>
    <s v="e_100_m_socorrista_master_50_54_m"/>
    <x v="2"/>
    <s v="M"/>
    <x v="3"/>
    <x v="0"/>
    <x v="2"/>
    <s v="e_100_m_socorrista_master_50_54_m100 m SocorristaMMáster 50-54100Socorrista"/>
    <n v="1"/>
  </r>
  <r>
    <s v="e_100_m_socorrista_master_55_59_f"/>
    <x v="2"/>
    <s v="F"/>
    <x v="4"/>
    <x v="0"/>
    <x v="2"/>
    <s v="e_100_m_socorrista_master_55_59_f100 m SocorristaFMáster 55-59100Socorrista"/>
    <n v="1"/>
  </r>
  <r>
    <s v="e_100_m_socorrista_master_55_59_m"/>
    <x v="2"/>
    <s v="M"/>
    <x v="4"/>
    <x v="0"/>
    <x v="2"/>
    <s v="e_100_m_socorrista_master_55_59_m100 m SocorristaMMáster 55-59100Socorrista"/>
    <n v="1"/>
  </r>
  <r>
    <s v="e_100_m_socorrista_master_60_64_m"/>
    <x v="2"/>
    <s v="M"/>
    <x v="5"/>
    <x v="0"/>
    <x v="2"/>
    <s v="e_100_m_socorrista_master_60_64_m100 m SocorristaMMáster 60-64100Socorrista"/>
    <n v="1"/>
  </r>
  <r>
    <s v="e_100_m_socorrista_master_70_74_m"/>
    <x v="2"/>
    <s v="M"/>
    <x v="6"/>
    <x v="0"/>
    <x v="2"/>
    <s v="e_100_m_socorrista_master_70_74_m100 m SocorristaMMáster 70-74100Socorrista"/>
    <n v="1"/>
  </r>
  <r>
    <s v="e_4x25_m_relevo_remolque_de_maniqui_master_r4_120_f"/>
    <x v="3"/>
    <s v="F"/>
    <x v="8"/>
    <x v="1"/>
    <x v="3"/>
    <s v="e_4x25_m_relevo_remolque_de_maniqui_master_r4_120_f4x25 m Relevo Remolque de ManiquíFMáster R4 +1204x25Relevo Remolque de Maniquí"/>
    <n v="1"/>
  </r>
  <r>
    <s v="e_4x25_m_relevo_remolque_de_maniqui_master_r4_120_m"/>
    <x v="3"/>
    <s v="M"/>
    <x v="8"/>
    <x v="1"/>
    <x v="3"/>
    <s v="e_4x25_m_relevo_remolque_de_maniqui_master_r4_120_m4x25 m Relevo Remolque de ManiquíMMáster R4 +1204x25Relevo Remolque de Maniquí"/>
    <n v="1"/>
  </r>
  <r>
    <s v="e_4x25_m_relevo_remolque_de_maniqui_master_r4_140_m"/>
    <x v="3"/>
    <s v="M"/>
    <x v="9"/>
    <x v="1"/>
    <x v="3"/>
    <s v="e_4x25_m_relevo_remolque_de_maniqui_master_r4_140_m4x25 m Relevo Remolque de ManiquíMMáster R4 +1404x25Relevo Remolque de Maniquí"/>
    <n v="1"/>
  </r>
  <r>
    <s v="e_4x25_m_relevo_remolque_de_maniqui_master_r4_170_f"/>
    <x v="3"/>
    <s v="F"/>
    <x v="10"/>
    <x v="1"/>
    <x v="3"/>
    <s v="e_4x25_m_relevo_remolque_de_maniqui_master_r4_170_f4x25 m Relevo Remolque de ManiquíFMáster R4 +1704x25Relevo Remolque de Maniquí"/>
    <n v="1"/>
  </r>
  <r>
    <s v="e_4x25_m_relevo_remolque_de_maniqui_master_r4_170_m"/>
    <x v="3"/>
    <s v="M"/>
    <x v="10"/>
    <x v="1"/>
    <x v="3"/>
    <s v="e_4x25_m_relevo_remolque_de_maniqui_master_r4_170_m4x25 m Relevo Remolque de ManiquíMMáster R4 +1704x25Relevo Remolque de Maniquí"/>
    <n v="1"/>
  </r>
  <r>
    <s v="e_4x25_m_relevo_remolque_de_maniqui_master_r4_200_f"/>
    <x v="3"/>
    <s v="F"/>
    <x v="11"/>
    <x v="1"/>
    <x v="3"/>
    <s v="e_4x25_m_relevo_remolque_de_maniqui_master_r4_200_f4x25 m Relevo Remolque de ManiquíFMáster R4 +2004x25Relevo Remolque de Maniquí"/>
    <n v="1"/>
  </r>
  <r>
    <s v="e_4x25_m_relevo_remolque_de_maniqui_master_r4_200_m"/>
    <x v="3"/>
    <s v="M"/>
    <x v="11"/>
    <x v="1"/>
    <x v="3"/>
    <s v="e_4x25_m_relevo_remolque_de_maniqui_master_r4_200_m4x25 m Relevo Remolque de ManiquíMMáster R4 +2004x25Relevo Remolque de Maniquí"/>
    <n v="1"/>
  </r>
  <r>
    <s v="e_4x25_m_relevo_remolque_de_maniqui_master_r4_230_m"/>
    <x v="3"/>
    <s v="M"/>
    <x v="12"/>
    <x v="1"/>
    <x v="3"/>
    <s v="e_4x25_m_relevo_remolque_de_maniqui_master_r4_230_m4x25 m Relevo Remolque de ManiquíMMáster R4 +2304x25Relevo Remolque de Maniquí"/>
    <n v="1"/>
  </r>
  <r>
    <s v="e_4x50_m_relevo_combinado_master_r4_120_f"/>
    <x v="4"/>
    <s v="F"/>
    <x v="8"/>
    <x v="2"/>
    <x v="4"/>
    <s v="e_4x50_m_relevo_combinado_master_r4_120_f4x50 m Relevo CombinadoFMáster R4 +1204x50Relevo Combinado"/>
    <n v="1"/>
  </r>
  <r>
    <s v="e_4x50_m_relevo_combinado_master_r4_120_m"/>
    <x v="4"/>
    <s v="M"/>
    <x v="8"/>
    <x v="2"/>
    <x v="4"/>
    <s v="e_4x50_m_relevo_combinado_master_r4_120_m4x50 m Relevo CombinadoMMáster R4 +1204x50Relevo Combinado"/>
    <n v="1"/>
  </r>
  <r>
    <s v="e_4x50_m_relevo_combinado_master_r4_140_m"/>
    <x v="4"/>
    <s v="M"/>
    <x v="9"/>
    <x v="2"/>
    <x v="4"/>
    <s v="e_4x50_m_relevo_combinado_master_r4_140_m4x50 m Relevo CombinadoMMáster R4 +1404x50Relevo Combinado"/>
    <n v="1"/>
  </r>
  <r>
    <s v="e_4x50_m_relevo_combinado_master_r4_170_f"/>
    <x v="4"/>
    <s v="F"/>
    <x v="10"/>
    <x v="2"/>
    <x v="4"/>
    <s v="e_4x50_m_relevo_combinado_master_r4_170_f4x50 m Relevo CombinadoFMáster R4 +1704x50Relevo Combinado"/>
    <n v="1"/>
  </r>
  <r>
    <s v="e_4x50_m_relevo_combinado_master_r4_170_m"/>
    <x v="4"/>
    <s v="M"/>
    <x v="10"/>
    <x v="2"/>
    <x v="4"/>
    <s v="e_4x50_m_relevo_combinado_master_r4_170_m4x50 m Relevo CombinadoMMáster R4 +1704x50Relevo Combinado"/>
    <n v="1"/>
  </r>
  <r>
    <s v="e_4x50_m_relevo_combinado_master_r4_200_f"/>
    <x v="4"/>
    <s v="F"/>
    <x v="11"/>
    <x v="2"/>
    <x v="4"/>
    <s v="e_4x50_m_relevo_combinado_master_r4_200_f4x50 m Relevo CombinadoFMáster R4 +2004x50Relevo Combinado"/>
    <n v="1"/>
  </r>
  <r>
    <s v="e_4x50_m_relevo_combinado_master_r4_200_m"/>
    <x v="4"/>
    <s v="M"/>
    <x v="11"/>
    <x v="2"/>
    <x v="4"/>
    <s v="e_4x50_m_relevo_combinado_master_r4_200_m4x50 m Relevo CombinadoMMáster R4 +2004x50Relevo Combinado"/>
    <n v="1"/>
  </r>
  <r>
    <s v="e_4x50_m_relevo_combinado_master_r4_230_m"/>
    <x v="4"/>
    <s v="M"/>
    <x v="12"/>
    <x v="2"/>
    <x v="4"/>
    <s v="e_4x50_m_relevo_combinado_master_r4_230_m4x50 m Relevo CombinadoMMáster R4 +2304x50Relevo Combinado"/>
    <n v="1"/>
  </r>
  <r>
    <s v="e_4x50_m_relevo_natacion_con_obstaculos_master_r4_120_f"/>
    <x v="5"/>
    <s v="F"/>
    <x v="8"/>
    <x v="2"/>
    <x v="5"/>
    <s v="e_4x50_m_relevo_natacion_con_obstaculos_master_r4_120_f4x50 m Relevo Natación con ObstáculosFMáster R4 +1204x50Relevo Natación con Obstáculos"/>
    <n v="1"/>
  </r>
  <r>
    <s v="e_4x50_m_relevo_natacion_con_obstaculos_master_r4_120_m"/>
    <x v="5"/>
    <s v="M"/>
    <x v="8"/>
    <x v="2"/>
    <x v="5"/>
    <s v="e_4x50_m_relevo_natacion_con_obstaculos_master_r4_120_m4x50 m Relevo Natación con ObstáculosMMáster R4 +1204x50Relevo Natación con Obstáculos"/>
    <n v="1"/>
  </r>
  <r>
    <s v="e_4x50_m_relevo_natacion_con_obstaculos_master_r4_140_m"/>
    <x v="5"/>
    <s v="M"/>
    <x v="9"/>
    <x v="2"/>
    <x v="5"/>
    <s v="e_4x50_m_relevo_natacion_con_obstaculos_master_r4_140_m4x50 m Relevo Natación con ObstáculosMMáster R4 +1404x50Relevo Natación con Obstáculos"/>
    <n v="1"/>
  </r>
  <r>
    <s v="e_4x50_m_relevo_natacion_con_obstaculos_master_r4_170_m"/>
    <x v="5"/>
    <s v="M"/>
    <x v="10"/>
    <x v="2"/>
    <x v="5"/>
    <s v="e_4x50_m_relevo_natacion_con_obstaculos_master_r4_170_m4x50 m Relevo Natación con ObstáculosMMáster R4 +1704x50Relevo Natación con Obstáculos"/>
    <n v="1"/>
  </r>
  <r>
    <s v="e_4x50_m_relevo_natacion_con_obstaculos_master_r4_200_f"/>
    <x v="5"/>
    <s v="F"/>
    <x v="11"/>
    <x v="2"/>
    <x v="5"/>
    <s v="e_4x50_m_relevo_natacion_con_obstaculos_master_r4_200_f4x50 m Relevo Natación con ObstáculosFMáster R4 +2004x50Relevo Natación con Obstáculos"/>
    <n v="1"/>
  </r>
  <r>
    <s v="e_4x50_m_relevo_natacion_con_obstaculos_master_r4_200_m"/>
    <x v="5"/>
    <s v="M"/>
    <x v="11"/>
    <x v="2"/>
    <x v="5"/>
    <s v="e_4x50_m_relevo_natacion_con_obstaculos_master_r4_200_m4x50 m Relevo Natación con ObstáculosMMáster R4 +2004x50Relevo Natación con Obstáculos"/>
    <n v="1"/>
  </r>
  <r>
    <s v="e_4x50_m_relevo_natacion_con_obstaculos_master_r4_230_m"/>
    <x v="5"/>
    <s v="M"/>
    <x v="12"/>
    <x v="2"/>
    <x v="5"/>
    <s v="e_4x50_m_relevo_natacion_con_obstaculos_master_r4_230_m4x50 m Relevo Natación con ObstáculosMMáster R4 +2304x50Relevo Natación con Obstáculos"/>
    <n v="1"/>
  </r>
  <r>
    <s v="e_50_m_remolque_de_maniqui_master_30_34_f"/>
    <x v="6"/>
    <s v="F"/>
    <x v="0"/>
    <x v="3"/>
    <x v="6"/>
    <s v="e_50_m_remolque_de_maniqui_master_30_34_f50 m Remolque de ManiquíFMáster 30-3450Remolque de Maniquí"/>
    <n v="1"/>
  </r>
  <r>
    <s v="e_50_m_remolque_de_maniqui_master_30_34_m"/>
    <x v="6"/>
    <s v="M"/>
    <x v="0"/>
    <x v="3"/>
    <x v="6"/>
    <s v="e_50_m_remolque_de_maniqui_master_30_34_m50 m Remolque de ManiquíMMáster 30-3450Remolque de Maniquí"/>
    <n v="1"/>
  </r>
  <r>
    <s v="e_50_m_remolque_de_maniqui_master_35_39_f"/>
    <x v="6"/>
    <s v="F"/>
    <x v="1"/>
    <x v="3"/>
    <x v="6"/>
    <s v="e_50_m_remolque_de_maniqui_master_35_39_f50 m Remolque de ManiquíFMáster 35-3950Remolque de Maniquí"/>
    <n v="1"/>
  </r>
  <r>
    <s v="e_50_m_remolque_de_maniqui_master_35_39_m"/>
    <x v="6"/>
    <s v="M"/>
    <x v="1"/>
    <x v="3"/>
    <x v="6"/>
    <s v="e_50_m_remolque_de_maniqui_master_35_39_m50 m Remolque de ManiquíMMáster 35-3950Remolque de Maniquí"/>
    <n v="1"/>
  </r>
  <r>
    <s v="e_50_m_remolque_de_maniqui_master_40_44_m"/>
    <x v="6"/>
    <s v="M"/>
    <x v="7"/>
    <x v="3"/>
    <x v="6"/>
    <s v="e_50_m_remolque_de_maniqui_master_40_44_m50 m Remolque de ManiquíMMáster 40-4450Remolque de Maniquí"/>
    <n v="1"/>
  </r>
  <r>
    <s v="e_50_m_remolque_de_maniqui_master_45_49_f"/>
    <x v="6"/>
    <s v="F"/>
    <x v="2"/>
    <x v="3"/>
    <x v="6"/>
    <s v="e_50_m_remolque_de_maniqui_master_45_49_f50 m Remolque de ManiquíFMáster 45-4950Remolque de Maniquí"/>
    <n v="1"/>
  </r>
  <r>
    <s v="e_50_m_remolque_de_maniqui_master_45_49_m"/>
    <x v="6"/>
    <s v="M"/>
    <x v="2"/>
    <x v="3"/>
    <x v="6"/>
    <s v="e_50_m_remolque_de_maniqui_master_45_49_m50 m Remolque de ManiquíMMáster 45-4950Remolque de Maniquí"/>
    <n v="1"/>
  </r>
  <r>
    <s v="e_50_m_remolque_de_maniqui_master_50_54_f"/>
    <x v="6"/>
    <s v="F"/>
    <x v="3"/>
    <x v="3"/>
    <x v="6"/>
    <s v="e_50_m_remolque_de_maniqui_master_50_54_f50 m Remolque de ManiquíFMáster 50-5450Remolque de Maniquí"/>
    <n v="1"/>
  </r>
  <r>
    <s v="e_50_m_remolque_de_maniqui_master_50_54_m"/>
    <x v="6"/>
    <s v="M"/>
    <x v="3"/>
    <x v="3"/>
    <x v="6"/>
    <s v="e_50_m_remolque_de_maniqui_master_50_54_m50 m Remolque de ManiquíMMáster 50-5450Remolque de Maniquí"/>
    <n v="1"/>
  </r>
  <r>
    <s v="e_50_m_remolque_de_maniqui_master_55_59_f"/>
    <x v="6"/>
    <s v="F"/>
    <x v="4"/>
    <x v="3"/>
    <x v="6"/>
    <s v="e_50_m_remolque_de_maniqui_master_55_59_f50 m Remolque de ManiquíFMáster 55-5950Remolque de Maniquí"/>
    <n v="1"/>
  </r>
  <r>
    <s v="e_50_m_remolque_de_maniqui_master_55_59_m"/>
    <x v="6"/>
    <s v="M"/>
    <x v="4"/>
    <x v="3"/>
    <x v="6"/>
    <s v="e_50_m_remolque_de_maniqui_master_55_59_m50 m Remolque de ManiquíMMáster 55-5950Remolque de Maniquí"/>
    <n v="1"/>
  </r>
  <r>
    <s v="e_50_m_remolque_de_maniqui_master_60_64_m"/>
    <x v="6"/>
    <s v="M"/>
    <x v="5"/>
    <x v="3"/>
    <x v="6"/>
    <s v="e_50_m_remolque_de_maniqui_master_60_64_m50 m Remolque de ManiquíMMáster 60-6450Remolque de Maniquí"/>
    <n v="1"/>
  </r>
  <r>
    <s v="e_50_m_remolque_de_maniqui_master_70_74_m"/>
    <x v="6"/>
    <s v="M"/>
    <x v="6"/>
    <x v="3"/>
    <x v="6"/>
    <s v="e_50_m_remolque_de_maniqui_master_70_74_m50 m Remolque de ManiquíMMáster 70-7450Remolque de Maniquí"/>
    <n v="1"/>
  </r>
  <r>
    <s v="e_lanzamiento_de_cuerda_master_30_34_f"/>
    <x v="7"/>
    <s v="F"/>
    <x v="0"/>
    <x v="4"/>
    <x v="7"/>
    <s v="e_lanzamiento_de_cuerda_master_30_34_fLanzamiento de CuerdaFMáster 30-34Lanzamiento de Cuerda"/>
    <n v="1"/>
  </r>
  <r>
    <s v="e_lanzamiento_de_cuerda_master_30_34_m"/>
    <x v="7"/>
    <s v="M"/>
    <x v="0"/>
    <x v="4"/>
    <x v="7"/>
    <s v="e_lanzamiento_de_cuerda_master_30_34_mLanzamiento de CuerdaMMáster 30-34Lanzamiento de Cuerda"/>
    <n v="1"/>
  </r>
  <r>
    <s v="e_lanzamiento_de_cuerda_master_35_39_f"/>
    <x v="7"/>
    <s v="F"/>
    <x v="1"/>
    <x v="4"/>
    <x v="7"/>
    <s v="e_lanzamiento_de_cuerda_master_35_39_fLanzamiento de CuerdaFMáster 35-39Lanzamiento de Cuerda"/>
    <n v="1"/>
  </r>
  <r>
    <s v="e_lanzamiento_de_cuerda_master_35_39_m"/>
    <x v="7"/>
    <s v="M"/>
    <x v="1"/>
    <x v="4"/>
    <x v="7"/>
    <s v="e_lanzamiento_de_cuerda_master_35_39_mLanzamiento de CuerdaMMáster 35-39Lanzamiento de Cuerda"/>
    <n v="1"/>
  </r>
  <r>
    <s v="e_lanzamiento_de_cuerda_master_40_44_m"/>
    <x v="7"/>
    <s v="M"/>
    <x v="7"/>
    <x v="4"/>
    <x v="7"/>
    <s v="e_lanzamiento_de_cuerda_master_40_44_mLanzamiento de CuerdaMMáster 40-44Lanzamiento de Cuerda"/>
    <n v="1"/>
  </r>
  <r>
    <s v="e_lanzamiento_de_cuerda_master_45_49_f"/>
    <x v="7"/>
    <s v="F"/>
    <x v="2"/>
    <x v="4"/>
    <x v="7"/>
    <s v="e_lanzamiento_de_cuerda_master_45_49_fLanzamiento de CuerdaFMáster 45-49Lanzamiento de Cuerda"/>
    <n v="1"/>
  </r>
  <r>
    <s v="e_lanzamiento_de_cuerda_master_45_49_m"/>
    <x v="7"/>
    <s v="M"/>
    <x v="2"/>
    <x v="4"/>
    <x v="7"/>
    <s v="e_lanzamiento_de_cuerda_master_45_49_mLanzamiento de CuerdaMMáster 45-49Lanzamiento de Cuerda"/>
    <n v="1"/>
  </r>
  <r>
    <s v="e_lanzamiento_de_cuerda_master_50_54_f"/>
    <x v="7"/>
    <s v="F"/>
    <x v="3"/>
    <x v="4"/>
    <x v="7"/>
    <s v="e_lanzamiento_de_cuerda_master_50_54_fLanzamiento de CuerdaFMáster 50-54Lanzamiento de Cuerda"/>
    <n v="1"/>
  </r>
  <r>
    <s v="e_lanzamiento_de_cuerda_master_50_54_m"/>
    <x v="7"/>
    <s v="M"/>
    <x v="3"/>
    <x v="4"/>
    <x v="7"/>
    <s v="e_lanzamiento_de_cuerda_master_50_54_mLanzamiento de CuerdaMMáster 50-54Lanzamiento de Cuerda"/>
    <n v="1"/>
  </r>
  <r>
    <s v="e_lanzamiento_de_cuerda_master_55_59_f"/>
    <x v="7"/>
    <s v="F"/>
    <x v="4"/>
    <x v="4"/>
    <x v="7"/>
    <s v="e_lanzamiento_de_cuerda_master_55_59_fLanzamiento de CuerdaFMáster 55-59Lanzamiento de Cuerda"/>
    <n v="1"/>
  </r>
  <r>
    <s v="e_lanzamiento_de_cuerda_master_55_59_m"/>
    <x v="7"/>
    <s v="M"/>
    <x v="4"/>
    <x v="4"/>
    <x v="7"/>
    <s v="e_lanzamiento_de_cuerda_master_55_59_mLanzamiento de CuerdaMMáster 55-59Lanzamiento de Cuerda"/>
    <n v="1"/>
  </r>
  <r>
    <s v="e_lanzamiento_de_cuerda_master_60_64_m"/>
    <x v="7"/>
    <s v="M"/>
    <x v="5"/>
    <x v="4"/>
    <x v="7"/>
    <s v="e_lanzamiento_de_cuerda_master_60_64_mLanzamiento de CuerdaMMáster 60-64Lanzamiento de Cuerda"/>
    <n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4B1BBD1-60E2-4F0B-AEA1-61DBC33EDACE}" name="PivotTable5" cacheId="22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I3:I9" firstHeaderRow="1" firstDataRow="1" firstDataCol="1"/>
  <pivotFields count="8">
    <pivotField showAll="0"/>
    <pivotField showAll="0"/>
    <pivotField showAll="0"/>
    <pivotField showAll="0"/>
    <pivotField axis="axisRow" showAll="0" sortType="ascending">
      <items count="10">
        <item m="1" x="7"/>
        <item m="1" x="5"/>
        <item m="1" x="6"/>
        <item m="1" x="8"/>
        <item x="0"/>
        <item x="1"/>
        <item x="2"/>
        <item x="3"/>
        <item x="4"/>
        <item t="default"/>
      </items>
    </pivotField>
    <pivotField showAll="0"/>
    <pivotField showAll="0"/>
    <pivotField showAll="0"/>
  </pivotFields>
  <rowFields count="1">
    <field x="4"/>
  </rowFields>
  <rowItems count="6">
    <i>
      <x v="4"/>
    </i>
    <i>
      <x v="5"/>
    </i>
    <i>
      <x v="6"/>
    </i>
    <i>
      <x v="7"/>
    </i>
    <i>
      <x v="8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A83935F-1042-4BCB-B148-C5F3681C7DC4}" name="PivotTable4" cacheId="22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G3:G17" firstHeaderRow="1" firstDataRow="1" firstDataCol="1"/>
  <pivotFields count="8">
    <pivotField showAll="0"/>
    <pivotField showAll="0"/>
    <pivotField showAll="0"/>
    <pivotField axis="axisRow" showAll="0" sortType="ascending">
      <items count="41">
        <item m="1" x="16"/>
        <item m="1" x="17"/>
        <item m="1" x="20"/>
        <item m="1" x="25"/>
        <item m="1" x="18"/>
        <item m="1" x="19"/>
        <item m="1" x="26"/>
        <item m="1" x="39"/>
        <item m="1" x="13"/>
        <item m="1" x="14"/>
        <item m="1" x="15"/>
        <item m="1" x="28"/>
        <item m="1" x="38"/>
        <item m="1" x="29"/>
        <item x="0"/>
        <item m="1" x="21"/>
        <item m="1" x="31"/>
        <item x="1"/>
        <item x="7"/>
        <item m="1" x="22"/>
        <item x="2"/>
        <item x="3"/>
        <item m="1" x="23"/>
        <item x="4"/>
        <item m="1" x="37"/>
        <item m="1" x="30"/>
        <item m="1" x="36"/>
        <item x="5"/>
        <item m="1" x="24"/>
        <item m="1" x="27"/>
        <item x="6"/>
        <item x="8"/>
        <item x="9"/>
        <item x="10"/>
        <item m="1" x="34"/>
        <item m="1" x="32"/>
        <item x="11"/>
        <item m="1" x="33"/>
        <item m="1" x="35"/>
        <item x="12"/>
        <item t="default"/>
      </items>
    </pivotField>
    <pivotField showAll="0"/>
    <pivotField showAll="0"/>
    <pivotField showAll="0"/>
    <pivotField showAll="0"/>
  </pivotFields>
  <rowFields count="1">
    <field x="3"/>
  </rowFields>
  <rowItems count="14">
    <i>
      <x v="14"/>
    </i>
    <i>
      <x v="17"/>
    </i>
    <i>
      <x v="18"/>
    </i>
    <i>
      <x v="20"/>
    </i>
    <i>
      <x v="21"/>
    </i>
    <i>
      <x v="23"/>
    </i>
    <i>
      <x v="27"/>
    </i>
    <i>
      <x v="30"/>
    </i>
    <i>
      <x v="31"/>
    </i>
    <i>
      <x v="32"/>
    </i>
    <i>
      <x v="33"/>
    </i>
    <i>
      <x v="36"/>
    </i>
    <i>
      <x v="39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B4F381F-AB59-488A-91E6-7609F4AD2E09}" name="PivotTable3" cacheId="22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E3:E12" firstHeaderRow="1" firstDataRow="1" firstDataCol="1"/>
  <pivotFields count="8">
    <pivotField showAll="0"/>
    <pivotField axis="axisRow" showAll="0" sortType="ascending">
      <items count="44">
        <item m="1" x="30"/>
        <item m="1" x="8"/>
        <item m="1" x="31"/>
        <item x="0"/>
        <item m="1" x="26"/>
        <item x="1"/>
        <item m="1" x="9"/>
        <item m="1" x="39"/>
        <item x="2"/>
        <item m="1" x="10"/>
        <item m="1" x="11"/>
        <item m="1" x="32"/>
        <item m="1" x="12"/>
        <item m="1" x="33"/>
        <item m="1" x="13"/>
        <item m="1" x="34"/>
        <item m="1" x="14"/>
        <item m="1" x="41"/>
        <item m="1" x="15"/>
        <item m="1" x="35"/>
        <item m="1" x="16"/>
        <item m="1" x="17"/>
        <item x="3"/>
        <item m="1" x="42"/>
        <item m="1" x="18"/>
        <item m="1" x="19"/>
        <item m="1" x="20"/>
        <item x="4"/>
        <item m="1" x="27"/>
        <item m="1" x="21"/>
        <item x="5"/>
        <item m="1" x="28"/>
        <item m="1" x="36"/>
        <item m="1" x="37"/>
        <item m="1" x="22"/>
        <item m="1" x="38"/>
        <item m="1" x="23"/>
        <item x="6"/>
        <item m="1" x="24"/>
        <item m="1" x="40"/>
        <item m="1" x="25"/>
        <item x="7"/>
        <item m="1" x="29"/>
        <item t="default"/>
      </items>
    </pivotField>
    <pivotField showAll="0"/>
    <pivotField showAll="0"/>
    <pivotField showAll="0"/>
    <pivotField showAll="0"/>
    <pivotField showAll="0"/>
    <pivotField showAll="0"/>
  </pivotFields>
  <rowFields count="1">
    <field x="1"/>
  </rowFields>
  <rowItems count="9">
    <i>
      <x v="3"/>
    </i>
    <i>
      <x v="5"/>
    </i>
    <i>
      <x v="8"/>
    </i>
    <i>
      <x v="22"/>
    </i>
    <i>
      <x v="27"/>
    </i>
    <i>
      <x v="30"/>
    </i>
    <i>
      <x v="37"/>
    </i>
    <i>
      <x v="41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7C190BC-35C9-41EB-9898-199160AF60CC}" name="PivotTable2" cacheId="22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C3:C12" firstHeaderRow="1" firstDataRow="1" firstDataCol="1"/>
  <pivotFields count="8">
    <pivotField showAll="0"/>
    <pivotField showAll="0"/>
    <pivotField showAll="0"/>
    <pivotField showAll="0"/>
    <pivotField showAll="0"/>
    <pivotField axis="axisRow" showAll="0" sortType="ascending">
      <items count="25">
        <item m="1" x="11"/>
        <item m="1" x="17"/>
        <item m="1" x="20"/>
        <item m="1" x="8"/>
        <item m="1" x="18"/>
        <item x="7"/>
        <item x="0"/>
        <item m="1" x="13"/>
        <item m="1" x="19"/>
        <item x="4"/>
        <item m="1" x="15"/>
        <item m="1" x="14"/>
        <item x="5"/>
        <item x="3"/>
        <item m="1" x="23"/>
        <item m="1" x="12"/>
        <item x="6"/>
        <item x="1"/>
        <item m="1" x="9"/>
        <item m="1" x="22"/>
        <item m="1" x="21"/>
        <item x="2"/>
        <item m="1" x="10"/>
        <item m="1" x="16"/>
        <item t="default"/>
      </items>
    </pivotField>
    <pivotField showAll="0"/>
    <pivotField showAll="0"/>
  </pivotFields>
  <rowFields count="1">
    <field x="5"/>
  </rowFields>
  <rowItems count="9">
    <i>
      <x v="5"/>
    </i>
    <i>
      <x v="6"/>
    </i>
    <i>
      <x v="9"/>
    </i>
    <i>
      <x v="12"/>
    </i>
    <i>
      <x v="13"/>
    </i>
    <i>
      <x v="16"/>
    </i>
    <i>
      <x v="17"/>
    </i>
    <i>
      <x v="21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90865FB-D071-4837-ADF0-CDF900CEEABA}" name="PivotTable1" cacheId="22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A73" firstHeaderRow="1" firstDataRow="1" firstDataCol="1"/>
  <pivotFields count="8">
    <pivotField showAll="0"/>
    <pivotField axis="axisRow" showAll="0">
      <items count="44">
        <item m="1" x="8"/>
        <item x="0"/>
        <item x="1"/>
        <item m="1" x="9"/>
        <item m="1" x="39"/>
        <item x="2"/>
        <item m="1" x="10"/>
        <item m="1" x="11"/>
        <item m="1" x="12"/>
        <item m="1" x="13"/>
        <item m="1" x="14"/>
        <item m="1" x="41"/>
        <item m="1" x="16"/>
        <item m="1" x="17"/>
        <item x="3"/>
        <item m="1" x="42"/>
        <item m="1" x="18"/>
        <item x="4"/>
        <item x="5"/>
        <item m="1" x="28"/>
        <item m="1" x="22"/>
        <item m="1" x="23"/>
        <item x="6"/>
        <item m="1" x="24"/>
        <item m="1" x="40"/>
        <item m="1" x="25"/>
        <item x="7"/>
        <item m="1" x="30"/>
        <item m="1" x="31"/>
        <item m="1" x="32"/>
        <item m="1" x="33"/>
        <item m="1" x="34"/>
        <item m="1" x="35"/>
        <item m="1" x="36"/>
        <item m="1" x="37"/>
        <item m="1" x="38"/>
        <item m="1" x="15"/>
        <item m="1" x="26"/>
        <item m="1" x="27"/>
        <item m="1" x="21"/>
        <item m="1" x="29"/>
        <item m="1" x="19"/>
        <item m="1" x="20"/>
        <item t="default"/>
      </items>
    </pivotField>
    <pivotField showAll="0"/>
    <pivotField axis="axisRow" showAll="0">
      <items count="41">
        <item m="1" x="16"/>
        <item m="1" x="17"/>
        <item m="1" x="20"/>
        <item m="1" x="18"/>
        <item m="1" x="19"/>
        <item m="1" x="39"/>
        <item m="1" x="38"/>
        <item x="0"/>
        <item m="1" x="21"/>
        <item x="1"/>
        <item x="7"/>
        <item m="1" x="22"/>
        <item x="2"/>
        <item x="3"/>
        <item m="1" x="23"/>
        <item x="4"/>
        <item x="5"/>
        <item m="1" x="24"/>
        <item x="9"/>
        <item x="10"/>
        <item x="11"/>
        <item x="12"/>
        <item m="1" x="25"/>
        <item m="1" x="29"/>
        <item m="1" x="30"/>
        <item m="1" x="28"/>
        <item m="1" x="31"/>
        <item m="1" x="32"/>
        <item m="1" x="33"/>
        <item m="1" x="34"/>
        <item m="1" x="35"/>
        <item m="1" x="36"/>
        <item m="1" x="37"/>
        <item m="1" x="26"/>
        <item m="1" x="27"/>
        <item x="6"/>
        <item m="1" x="13"/>
        <item m="1" x="14"/>
        <item m="1" x="15"/>
        <item x="8"/>
        <item t="default"/>
      </items>
    </pivotField>
    <pivotField showAll="0"/>
    <pivotField axis="axisRow" showAll="0">
      <items count="25">
        <item m="1" x="8"/>
        <item x="7"/>
        <item x="0"/>
        <item x="4"/>
        <item x="5"/>
        <item x="3"/>
        <item m="1" x="23"/>
        <item m="1" x="12"/>
        <item x="6"/>
        <item x="1"/>
        <item m="1" x="9"/>
        <item m="1" x="22"/>
        <item m="1" x="21"/>
        <item x="2"/>
        <item m="1" x="10"/>
        <item m="1" x="17"/>
        <item m="1" x="18"/>
        <item m="1" x="19"/>
        <item m="1" x="20"/>
        <item m="1" x="11"/>
        <item m="1" x="15"/>
        <item m="1" x="14"/>
        <item m="1" x="16"/>
        <item m="1" x="13"/>
        <item t="default"/>
      </items>
    </pivotField>
    <pivotField showAll="0"/>
    <pivotField showAll="0"/>
  </pivotFields>
  <rowFields count="3">
    <field x="5"/>
    <field x="1"/>
    <field x="3"/>
  </rowFields>
  <rowItems count="70">
    <i>
      <x v="1"/>
    </i>
    <i r="1">
      <x v="26"/>
    </i>
    <i r="2">
      <x v="7"/>
    </i>
    <i r="2">
      <x v="9"/>
    </i>
    <i r="2">
      <x v="10"/>
    </i>
    <i r="2">
      <x v="12"/>
    </i>
    <i r="2">
      <x v="13"/>
    </i>
    <i r="2">
      <x v="15"/>
    </i>
    <i r="2">
      <x v="16"/>
    </i>
    <i>
      <x v="2"/>
    </i>
    <i r="1">
      <x v="1"/>
    </i>
    <i r="2">
      <x v="7"/>
    </i>
    <i r="2">
      <x v="9"/>
    </i>
    <i r="2">
      <x v="12"/>
    </i>
    <i r="2">
      <x v="13"/>
    </i>
    <i r="2">
      <x v="15"/>
    </i>
    <i r="2">
      <x v="16"/>
    </i>
    <i r="2">
      <x v="35"/>
    </i>
    <i>
      <x v="3"/>
    </i>
    <i r="1">
      <x v="17"/>
    </i>
    <i r="2">
      <x v="18"/>
    </i>
    <i r="2">
      <x v="19"/>
    </i>
    <i r="2">
      <x v="20"/>
    </i>
    <i r="2">
      <x v="21"/>
    </i>
    <i r="2">
      <x v="39"/>
    </i>
    <i>
      <x v="4"/>
    </i>
    <i r="1">
      <x v="18"/>
    </i>
    <i r="2">
      <x v="18"/>
    </i>
    <i r="2">
      <x v="19"/>
    </i>
    <i r="2">
      <x v="20"/>
    </i>
    <i r="2">
      <x v="21"/>
    </i>
    <i r="2">
      <x v="39"/>
    </i>
    <i>
      <x v="5"/>
    </i>
    <i r="1">
      <x v="14"/>
    </i>
    <i r="2">
      <x v="18"/>
    </i>
    <i r="2">
      <x v="19"/>
    </i>
    <i r="2">
      <x v="20"/>
    </i>
    <i r="2">
      <x v="21"/>
    </i>
    <i r="2">
      <x v="39"/>
    </i>
    <i>
      <x v="8"/>
    </i>
    <i r="1">
      <x v="22"/>
    </i>
    <i r="2">
      <x v="7"/>
    </i>
    <i r="2">
      <x v="9"/>
    </i>
    <i r="2">
      <x v="10"/>
    </i>
    <i r="2">
      <x v="12"/>
    </i>
    <i r="2">
      <x v="13"/>
    </i>
    <i r="2">
      <x v="15"/>
    </i>
    <i r="2">
      <x v="16"/>
    </i>
    <i r="2">
      <x v="35"/>
    </i>
    <i>
      <x v="9"/>
    </i>
    <i r="1">
      <x v="2"/>
    </i>
    <i r="2">
      <x v="7"/>
    </i>
    <i r="2">
      <x v="9"/>
    </i>
    <i r="2">
      <x v="10"/>
    </i>
    <i r="2">
      <x v="12"/>
    </i>
    <i r="2">
      <x v="13"/>
    </i>
    <i r="2">
      <x v="15"/>
    </i>
    <i r="2">
      <x v="16"/>
    </i>
    <i r="2">
      <x v="35"/>
    </i>
    <i>
      <x v="13"/>
    </i>
    <i r="1">
      <x v="5"/>
    </i>
    <i r="2">
      <x v="7"/>
    </i>
    <i r="2">
      <x v="9"/>
    </i>
    <i r="2">
      <x v="10"/>
    </i>
    <i r="2">
      <x v="12"/>
    </i>
    <i r="2">
      <x v="13"/>
    </i>
    <i r="2">
      <x v="15"/>
    </i>
    <i r="2">
      <x v="16"/>
    </i>
    <i r="2">
      <x v="35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C46914C2-71D0-42CC-81F9-6F8884D65A06}" autoFormatId="16" applyNumberFormats="0" applyBorderFormats="0" applyFontFormats="0" applyPatternFormats="0" applyAlignmentFormats="0" applyWidthHeightFormats="0">
  <queryTableRefresh nextId="11" unboundColumnsRight="2">
    <queryTableFields count="8">
      <queryTableField id="1" name="Column1.id" tableColumnId="1"/>
      <queryTableField id="2" name="Column1.base" tableColumnId="2"/>
      <queryTableField id="3" name="Column1.sex" tableColumnId="3"/>
      <queryTableField id="4" name="Column1.category" tableColumnId="4"/>
      <queryTableField id="5" name="Column1.distance_m" tableColumnId="5"/>
      <queryTableField id="6" name="Column1.discipline" tableColumnId="6"/>
      <queryTableField id="10" dataBound="0" tableColumnId="10"/>
      <queryTableField id="8" dataBound="0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67EE907-657E-4BD0-ABBE-2B3F4A7CF891}" name="Canonical" displayName="Canonical" ref="A1:H87" tableType="queryTable" totalsRowShown="0">
  <autoFilter ref="A1:H87" xr:uid="{767EE907-657E-4BD0-ABBE-2B3F4A7CF891}"/>
  <sortState xmlns:xlrd2="http://schemas.microsoft.com/office/spreadsheetml/2017/richdata2" ref="A2:H87">
    <sortCondition ref="A1:A87"/>
  </sortState>
  <tableColumns count="8">
    <tableColumn id="1" xr3:uid="{121309DC-B0DF-41F6-AC83-558879CDC321}" uniqueName="1" name="Column1.id" queryTableFieldId="1"/>
    <tableColumn id="2" xr3:uid="{FCD0C0AC-1CEC-4F7D-BC55-17608608516D}" uniqueName="2" name="Column1.base" queryTableFieldId="2"/>
    <tableColumn id="3" xr3:uid="{81BF09ED-2ECE-4160-BF24-69CC4FA96715}" uniqueName="3" name="Column1.sex" queryTableFieldId="3"/>
    <tableColumn id="4" xr3:uid="{2BD349FE-1EC9-4749-8CAE-EBF9307F5D48}" uniqueName="4" name="Column1.category" queryTableFieldId="4"/>
    <tableColumn id="5" xr3:uid="{A58DF424-8B97-41C2-A08A-5C730FFEA559}" uniqueName="5" name="Column1.distance_m" queryTableFieldId="5" dataDxfId="0"/>
    <tableColumn id="6" xr3:uid="{BEC55DA1-9BA5-4C96-8157-0CB0B9CC96A2}" uniqueName="6" name="Column1.discipline" queryTableFieldId="6"/>
    <tableColumn id="10" xr3:uid="{8314F803-FBD5-421A-A321-AD8982E2089A}" uniqueName="10" name="Concatenate" queryTableFieldId="10">
      <calculatedColumnFormula>_xlfn.CONCAT(Canonical[[#This Row],[Column1.id]:[Column1.discipline]])</calculatedColumnFormula>
    </tableColumn>
    <tableColumn id="8" xr3:uid="{5A61C050-930D-419C-A80B-45AA6C444EDE}" uniqueName="8" name="Duplicates" queryTableFieldId="8">
      <calculatedColumnFormula>COUNTIF(Canonical[Column1.id],Canonical[[#This Row],[Column1.id]])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6D8A29-5EDD-44AE-A948-19D1D00916F2}">
  <dimension ref="A1:I73"/>
  <sheetViews>
    <sheetView tabSelected="1" topLeftCell="A7" workbookViewId="0">
      <selection activeCell="A10" sqref="A10"/>
    </sheetView>
  </sheetViews>
  <sheetFormatPr defaultRowHeight="15" x14ac:dyDescent="0.25"/>
  <cols>
    <col min="1" max="1" width="41.28515625" bestFit="1" customWidth="1"/>
    <col min="2" max="2" width="7" bestFit="1" customWidth="1"/>
    <col min="3" max="3" width="30.42578125" bestFit="1" customWidth="1"/>
    <col min="5" max="5" width="36.85546875" bestFit="1" customWidth="1"/>
    <col min="7" max="7" width="14.140625" bestFit="1" customWidth="1"/>
    <col min="9" max="9" width="13.42578125" bestFit="1" customWidth="1"/>
  </cols>
  <sheetData>
    <row r="1" spans="1:9" x14ac:dyDescent="0.25">
      <c r="C1" t="s">
        <v>44</v>
      </c>
      <c r="E1" t="s">
        <v>45</v>
      </c>
      <c r="G1" t="s">
        <v>46</v>
      </c>
      <c r="I1" t="s">
        <v>47</v>
      </c>
    </row>
    <row r="3" spans="1:9" x14ac:dyDescent="0.25">
      <c r="A3" s="1" t="s">
        <v>41</v>
      </c>
      <c r="C3" s="1" t="s">
        <v>41</v>
      </c>
      <c r="E3" s="1" t="s">
        <v>41</v>
      </c>
      <c r="G3" s="1" t="s">
        <v>41</v>
      </c>
      <c r="I3" s="1" t="s">
        <v>41</v>
      </c>
    </row>
    <row r="4" spans="1:9" x14ac:dyDescent="0.25">
      <c r="A4" s="2" t="s">
        <v>28</v>
      </c>
      <c r="C4" s="2" t="s">
        <v>28</v>
      </c>
      <c r="E4" s="2" t="s">
        <v>12</v>
      </c>
      <c r="G4" s="2" t="s">
        <v>22</v>
      </c>
      <c r="I4" s="2" t="s">
        <v>37</v>
      </c>
    </row>
    <row r="5" spans="1:9" x14ac:dyDescent="0.25">
      <c r="A5" s="3" t="s">
        <v>28</v>
      </c>
      <c r="C5" s="2" t="s">
        <v>7</v>
      </c>
      <c r="E5" s="2" t="s">
        <v>15</v>
      </c>
      <c r="G5" s="2" t="s">
        <v>23</v>
      </c>
      <c r="I5" s="2" t="s">
        <v>18</v>
      </c>
    </row>
    <row r="6" spans="1:9" x14ac:dyDescent="0.25">
      <c r="A6" s="4" t="s">
        <v>22</v>
      </c>
      <c r="C6" s="2" t="s">
        <v>21</v>
      </c>
      <c r="E6" s="2" t="s">
        <v>13</v>
      </c>
      <c r="G6" s="2" t="s">
        <v>25</v>
      </c>
      <c r="I6" s="2" t="s">
        <v>31</v>
      </c>
    </row>
    <row r="7" spans="1:9" x14ac:dyDescent="0.25">
      <c r="A7" s="4" t="s">
        <v>23</v>
      </c>
      <c r="C7" s="2" t="s">
        <v>19</v>
      </c>
      <c r="E7" s="2" t="s">
        <v>35</v>
      </c>
      <c r="G7" s="2" t="s">
        <v>26</v>
      </c>
      <c r="I7" s="2" t="s">
        <v>38</v>
      </c>
    </row>
    <row r="8" spans="1:9" x14ac:dyDescent="0.25">
      <c r="A8" s="4" t="s">
        <v>25</v>
      </c>
      <c r="C8" s="2" t="s">
        <v>20</v>
      </c>
      <c r="E8" s="2" t="s">
        <v>36</v>
      </c>
      <c r="G8" s="2" t="s">
        <v>24</v>
      </c>
      <c r="I8" s="2" t="s">
        <v>43</v>
      </c>
    </row>
    <row r="9" spans="1:9" x14ac:dyDescent="0.25">
      <c r="A9" s="4" t="s">
        <v>26</v>
      </c>
      <c r="C9" s="2" t="s">
        <v>10</v>
      </c>
      <c r="E9" s="2" t="s">
        <v>29</v>
      </c>
      <c r="G9" s="2" t="s">
        <v>17</v>
      </c>
      <c r="I9" s="2" t="s">
        <v>42</v>
      </c>
    </row>
    <row r="10" spans="1:9" x14ac:dyDescent="0.25">
      <c r="A10" s="4" t="s">
        <v>24</v>
      </c>
      <c r="C10" s="2" t="s">
        <v>11</v>
      </c>
      <c r="E10" s="2" t="s">
        <v>14</v>
      </c>
      <c r="G10" s="2" t="s">
        <v>27</v>
      </c>
    </row>
    <row r="11" spans="1:9" x14ac:dyDescent="0.25">
      <c r="A11" s="4" t="s">
        <v>17</v>
      </c>
      <c r="C11" s="2" t="s">
        <v>9</v>
      </c>
      <c r="E11" s="2" t="s">
        <v>28</v>
      </c>
      <c r="G11" s="2" t="s">
        <v>96</v>
      </c>
    </row>
    <row r="12" spans="1:9" x14ac:dyDescent="0.25">
      <c r="A12" s="4" t="s">
        <v>27</v>
      </c>
      <c r="C12" s="2" t="s">
        <v>42</v>
      </c>
      <c r="E12" s="2" t="s">
        <v>42</v>
      </c>
      <c r="G12" s="2" t="s">
        <v>113</v>
      </c>
    </row>
    <row r="13" spans="1:9" x14ac:dyDescent="0.25">
      <c r="A13" s="2" t="s">
        <v>7</v>
      </c>
      <c r="G13" s="2" t="s">
        <v>33</v>
      </c>
    </row>
    <row r="14" spans="1:9" x14ac:dyDescent="0.25">
      <c r="A14" s="3" t="s">
        <v>12</v>
      </c>
      <c r="G14" s="2" t="s">
        <v>30</v>
      </c>
    </row>
    <row r="15" spans="1:9" x14ac:dyDescent="0.25">
      <c r="A15" s="4" t="s">
        <v>22</v>
      </c>
      <c r="G15" s="2" t="s">
        <v>32</v>
      </c>
    </row>
    <row r="16" spans="1:9" x14ac:dyDescent="0.25">
      <c r="A16" s="4" t="s">
        <v>23</v>
      </c>
      <c r="G16" s="2" t="s">
        <v>34</v>
      </c>
    </row>
    <row r="17" spans="1:7" x14ac:dyDescent="0.25">
      <c r="A17" s="4" t="s">
        <v>26</v>
      </c>
      <c r="G17" s="2" t="s">
        <v>42</v>
      </c>
    </row>
    <row r="18" spans="1:7" x14ac:dyDescent="0.25">
      <c r="A18" s="4" t="s">
        <v>24</v>
      </c>
    </row>
    <row r="19" spans="1:7" x14ac:dyDescent="0.25">
      <c r="A19" s="4" t="s">
        <v>17</v>
      </c>
    </row>
    <row r="20" spans="1:7" x14ac:dyDescent="0.25">
      <c r="A20" s="4" t="s">
        <v>27</v>
      </c>
    </row>
    <row r="21" spans="1:7" x14ac:dyDescent="0.25">
      <c r="A21" s="4" t="s">
        <v>96</v>
      </c>
    </row>
    <row r="22" spans="1:7" x14ac:dyDescent="0.25">
      <c r="A22" s="2" t="s">
        <v>21</v>
      </c>
    </row>
    <row r="23" spans="1:7" x14ac:dyDescent="0.25">
      <c r="A23" s="3" t="s">
        <v>36</v>
      </c>
    </row>
    <row r="24" spans="1:7" x14ac:dyDescent="0.25">
      <c r="A24" s="4" t="s">
        <v>33</v>
      </c>
    </row>
    <row r="25" spans="1:7" x14ac:dyDescent="0.25">
      <c r="A25" s="4" t="s">
        <v>30</v>
      </c>
    </row>
    <row r="26" spans="1:7" x14ac:dyDescent="0.25">
      <c r="A26" s="4" t="s">
        <v>32</v>
      </c>
    </row>
    <row r="27" spans="1:7" x14ac:dyDescent="0.25">
      <c r="A27" s="4" t="s">
        <v>34</v>
      </c>
    </row>
    <row r="28" spans="1:7" x14ac:dyDescent="0.25">
      <c r="A28" s="4" t="s">
        <v>113</v>
      </c>
    </row>
    <row r="29" spans="1:7" x14ac:dyDescent="0.25">
      <c r="A29" s="2" t="s">
        <v>19</v>
      </c>
    </row>
    <row r="30" spans="1:7" x14ac:dyDescent="0.25">
      <c r="A30" s="3" t="s">
        <v>29</v>
      </c>
    </row>
    <row r="31" spans="1:7" x14ac:dyDescent="0.25">
      <c r="A31" s="4" t="s">
        <v>33</v>
      </c>
    </row>
    <row r="32" spans="1:7" x14ac:dyDescent="0.25">
      <c r="A32" s="4" t="s">
        <v>30</v>
      </c>
    </row>
    <row r="33" spans="1:1" x14ac:dyDescent="0.25">
      <c r="A33" s="4" t="s">
        <v>32</v>
      </c>
    </row>
    <row r="34" spans="1:1" x14ac:dyDescent="0.25">
      <c r="A34" s="4" t="s">
        <v>34</v>
      </c>
    </row>
    <row r="35" spans="1:1" x14ac:dyDescent="0.25">
      <c r="A35" s="4" t="s">
        <v>113</v>
      </c>
    </row>
    <row r="36" spans="1:1" x14ac:dyDescent="0.25">
      <c r="A36" s="2" t="s">
        <v>20</v>
      </c>
    </row>
    <row r="37" spans="1:1" x14ac:dyDescent="0.25">
      <c r="A37" s="3" t="s">
        <v>35</v>
      </c>
    </row>
    <row r="38" spans="1:1" x14ac:dyDescent="0.25">
      <c r="A38" s="4" t="s">
        <v>33</v>
      </c>
    </row>
    <row r="39" spans="1:1" x14ac:dyDescent="0.25">
      <c r="A39" s="4" t="s">
        <v>30</v>
      </c>
    </row>
    <row r="40" spans="1:1" x14ac:dyDescent="0.25">
      <c r="A40" s="4" t="s">
        <v>32</v>
      </c>
    </row>
    <row r="41" spans="1:1" x14ac:dyDescent="0.25">
      <c r="A41" s="4" t="s">
        <v>34</v>
      </c>
    </row>
    <row r="42" spans="1:1" x14ac:dyDescent="0.25">
      <c r="A42" s="4" t="s">
        <v>113</v>
      </c>
    </row>
    <row r="43" spans="1:1" x14ac:dyDescent="0.25">
      <c r="A43" s="2" t="s">
        <v>10</v>
      </c>
    </row>
    <row r="44" spans="1:1" x14ac:dyDescent="0.25">
      <c r="A44" s="3" t="s">
        <v>14</v>
      </c>
    </row>
    <row r="45" spans="1:1" x14ac:dyDescent="0.25">
      <c r="A45" s="4" t="s">
        <v>22</v>
      </c>
    </row>
    <row r="46" spans="1:1" x14ac:dyDescent="0.25">
      <c r="A46" s="4" t="s">
        <v>23</v>
      </c>
    </row>
    <row r="47" spans="1:1" x14ac:dyDescent="0.25">
      <c r="A47" s="4" t="s">
        <v>25</v>
      </c>
    </row>
    <row r="48" spans="1:1" x14ac:dyDescent="0.25">
      <c r="A48" s="4" t="s">
        <v>26</v>
      </c>
    </row>
    <row r="49" spans="1:1" x14ac:dyDescent="0.25">
      <c r="A49" s="4" t="s">
        <v>24</v>
      </c>
    </row>
    <row r="50" spans="1:1" x14ac:dyDescent="0.25">
      <c r="A50" s="4" t="s">
        <v>17</v>
      </c>
    </row>
    <row r="51" spans="1:1" x14ac:dyDescent="0.25">
      <c r="A51" s="4" t="s">
        <v>27</v>
      </c>
    </row>
    <row r="52" spans="1:1" x14ac:dyDescent="0.25">
      <c r="A52" s="4" t="s">
        <v>96</v>
      </c>
    </row>
    <row r="53" spans="1:1" x14ac:dyDescent="0.25">
      <c r="A53" s="2" t="s">
        <v>11</v>
      </c>
    </row>
    <row r="54" spans="1:1" x14ac:dyDescent="0.25">
      <c r="A54" s="3" t="s">
        <v>15</v>
      </c>
    </row>
    <row r="55" spans="1:1" x14ac:dyDescent="0.25">
      <c r="A55" s="4" t="s">
        <v>22</v>
      </c>
    </row>
    <row r="56" spans="1:1" x14ac:dyDescent="0.25">
      <c r="A56" s="4" t="s">
        <v>23</v>
      </c>
    </row>
    <row r="57" spans="1:1" x14ac:dyDescent="0.25">
      <c r="A57" s="4" t="s">
        <v>25</v>
      </c>
    </row>
    <row r="58" spans="1:1" x14ac:dyDescent="0.25">
      <c r="A58" s="4" t="s">
        <v>26</v>
      </c>
    </row>
    <row r="59" spans="1:1" x14ac:dyDescent="0.25">
      <c r="A59" s="4" t="s">
        <v>24</v>
      </c>
    </row>
    <row r="60" spans="1:1" x14ac:dyDescent="0.25">
      <c r="A60" s="4" t="s">
        <v>17</v>
      </c>
    </row>
    <row r="61" spans="1:1" x14ac:dyDescent="0.25">
      <c r="A61" s="4" t="s">
        <v>27</v>
      </c>
    </row>
    <row r="62" spans="1:1" x14ac:dyDescent="0.25">
      <c r="A62" s="4" t="s">
        <v>96</v>
      </c>
    </row>
    <row r="63" spans="1:1" x14ac:dyDescent="0.25">
      <c r="A63" s="2" t="s">
        <v>9</v>
      </c>
    </row>
    <row r="64" spans="1:1" x14ac:dyDescent="0.25">
      <c r="A64" s="3" t="s">
        <v>13</v>
      </c>
    </row>
    <row r="65" spans="1:1" x14ac:dyDescent="0.25">
      <c r="A65" s="4" t="s">
        <v>22</v>
      </c>
    </row>
    <row r="66" spans="1:1" x14ac:dyDescent="0.25">
      <c r="A66" s="4" t="s">
        <v>23</v>
      </c>
    </row>
    <row r="67" spans="1:1" x14ac:dyDescent="0.25">
      <c r="A67" s="4" t="s">
        <v>25</v>
      </c>
    </row>
    <row r="68" spans="1:1" x14ac:dyDescent="0.25">
      <c r="A68" s="4" t="s">
        <v>26</v>
      </c>
    </row>
    <row r="69" spans="1:1" x14ac:dyDescent="0.25">
      <c r="A69" s="4" t="s">
        <v>24</v>
      </c>
    </row>
    <row r="70" spans="1:1" x14ac:dyDescent="0.25">
      <c r="A70" s="4" t="s">
        <v>17</v>
      </c>
    </row>
    <row r="71" spans="1:1" x14ac:dyDescent="0.25">
      <c r="A71" s="4" t="s">
        <v>27</v>
      </c>
    </row>
    <row r="72" spans="1:1" x14ac:dyDescent="0.25">
      <c r="A72" s="4" t="s">
        <v>96</v>
      </c>
    </row>
    <row r="73" spans="1:1" x14ac:dyDescent="0.25">
      <c r="A73" s="2" t="s">
        <v>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18C098-6E75-4EE1-B5CA-CF608FF1FDBC}">
  <dimension ref="A1:H87"/>
  <sheetViews>
    <sheetView workbookViewId="0">
      <selection activeCell="A24" sqref="A24"/>
    </sheetView>
  </sheetViews>
  <sheetFormatPr defaultRowHeight="15" x14ac:dyDescent="0.25"/>
  <cols>
    <col min="1" max="1" width="56.5703125" bestFit="1" customWidth="1"/>
    <col min="2" max="2" width="36.85546875" bestFit="1" customWidth="1"/>
    <col min="3" max="3" width="15.140625" customWidth="1"/>
    <col min="4" max="4" width="20" bestFit="1" customWidth="1"/>
    <col min="5" max="5" width="22.5703125" customWidth="1"/>
    <col min="6" max="6" width="30.42578125" bestFit="1" customWidth="1"/>
    <col min="7" max="7" width="81.140625" bestFit="1" customWidth="1"/>
    <col min="8" max="8" width="13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40</v>
      </c>
      <c r="H1" t="s">
        <v>39</v>
      </c>
    </row>
    <row r="2" spans="1:8" x14ac:dyDescent="0.25">
      <c r="A2" t="s">
        <v>99</v>
      </c>
      <c r="B2" t="s">
        <v>12</v>
      </c>
      <c r="C2" t="s">
        <v>6</v>
      </c>
      <c r="D2" t="s">
        <v>22</v>
      </c>
      <c r="E2" s="5" t="s">
        <v>37</v>
      </c>
      <c r="F2" t="s">
        <v>7</v>
      </c>
      <c r="G2" t="str">
        <f>_xlfn.CONCAT(Canonical[[#This Row],[Column1.id]:[Column1.discipline]])</f>
        <v>e_100_m_natacion_con_obstaculos_master_30_34_f100 m Natación con ObstáculosFMáster 30-34100Natación con Obstáculos</v>
      </c>
      <c r="H2">
        <f>COUNTIF(Canonical[Column1.id],Canonical[[#This Row],[Column1.id]])</f>
        <v>1</v>
      </c>
    </row>
    <row r="3" spans="1:8" x14ac:dyDescent="0.25">
      <c r="A3" t="s">
        <v>101</v>
      </c>
      <c r="B3" t="s">
        <v>12</v>
      </c>
      <c r="C3" t="s">
        <v>8</v>
      </c>
      <c r="D3" t="s">
        <v>22</v>
      </c>
      <c r="E3" s="5" t="s">
        <v>37</v>
      </c>
      <c r="F3" t="s">
        <v>7</v>
      </c>
      <c r="G3" t="str">
        <f>_xlfn.CONCAT(Canonical[[#This Row],[Column1.id]:[Column1.discipline]])</f>
        <v>e_100_m_natacion_con_obstaculos_master_30_34_m100 m Natación con ObstáculosMMáster 30-34100Natación con Obstáculos</v>
      </c>
      <c r="H3">
        <f>COUNTIF(Canonical[Column1.id],Canonical[[#This Row],[Column1.id]])</f>
        <v>1</v>
      </c>
    </row>
    <row r="4" spans="1:8" x14ac:dyDescent="0.25">
      <c r="A4" t="s">
        <v>98</v>
      </c>
      <c r="B4" t="s">
        <v>12</v>
      </c>
      <c r="C4" t="s">
        <v>6</v>
      </c>
      <c r="D4" t="s">
        <v>23</v>
      </c>
      <c r="E4" s="5" t="s">
        <v>37</v>
      </c>
      <c r="F4" t="s">
        <v>7</v>
      </c>
      <c r="G4" t="str">
        <f>_xlfn.CONCAT(Canonical[[#This Row],[Column1.id]:[Column1.discipline]])</f>
        <v>e_100_m_natacion_con_obstaculos_master_35_39_f100 m Natación con ObstáculosFMáster 35-39100Natación con Obstáculos</v>
      </c>
      <c r="H4">
        <f>COUNTIF(Canonical[Column1.id],Canonical[[#This Row],[Column1.id]])</f>
        <v>1</v>
      </c>
    </row>
    <row r="5" spans="1:8" x14ac:dyDescent="0.25">
      <c r="A5" t="s">
        <v>102</v>
      </c>
      <c r="B5" t="s">
        <v>12</v>
      </c>
      <c r="C5" t="s">
        <v>8</v>
      </c>
      <c r="D5" t="s">
        <v>23</v>
      </c>
      <c r="E5" s="5" t="s">
        <v>37</v>
      </c>
      <c r="F5" t="s">
        <v>7</v>
      </c>
      <c r="G5" t="str">
        <f>_xlfn.CONCAT(Canonical[[#This Row],[Column1.id]:[Column1.discipline]])</f>
        <v>e_100_m_natacion_con_obstaculos_master_35_39_m100 m Natación con ObstáculosMMáster 35-39100Natación con Obstáculos</v>
      </c>
      <c r="H5">
        <f>COUNTIF(Canonical[Column1.id],Canonical[[#This Row],[Column1.id]])</f>
        <v>1</v>
      </c>
    </row>
    <row r="6" spans="1:8" x14ac:dyDescent="0.25">
      <c r="A6" t="s">
        <v>97</v>
      </c>
      <c r="B6" t="s">
        <v>12</v>
      </c>
      <c r="C6" t="s">
        <v>6</v>
      </c>
      <c r="D6" t="s">
        <v>26</v>
      </c>
      <c r="E6" s="5" t="s">
        <v>37</v>
      </c>
      <c r="F6" t="s">
        <v>7</v>
      </c>
      <c r="G6" t="str">
        <f>_xlfn.CONCAT(Canonical[[#This Row],[Column1.id]:[Column1.discipline]])</f>
        <v>e_100_m_natacion_con_obstaculos_master_45_49_f100 m Natación con ObstáculosFMáster 45-49100Natación con Obstáculos</v>
      </c>
      <c r="H6">
        <f>COUNTIF(Canonical[Column1.id],Canonical[[#This Row],[Column1.id]])</f>
        <v>1</v>
      </c>
    </row>
    <row r="7" spans="1:8" x14ac:dyDescent="0.25">
      <c r="A7" t="s">
        <v>103</v>
      </c>
      <c r="B7" t="s">
        <v>12</v>
      </c>
      <c r="C7" t="s">
        <v>8</v>
      </c>
      <c r="D7" t="s">
        <v>26</v>
      </c>
      <c r="E7" s="5" t="s">
        <v>37</v>
      </c>
      <c r="F7" t="s">
        <v>7</v>
      </c>
      <c r="G7" t="str">
        <f>_xlfn.CONCAT(Canonical[[#This Row],[Column1.id]:[Column1.discipline]])</f>
        <v>e_100_m_natacion_con_obstaculos_master_45_49_m100 m Natación con ObstáculosMMáster 45-49100Natación con Obstáculos</v>
      </c>
      <c r="H7">
        <f>COUNTIF(Canonical[Column1.id],Canonical[[#This Row],[Column1.id]])</f>
        <v>1</v>
      </c>
    </row>
    <row r="8" spans="1:8" x14ac:dyDescent="0.25">
      <c r="A8" t="s">
        <v>100</v>
      </c>
      <c r="B8" t="s">
        <v>12</v>
      </c>
      <c r="C8" t="s">
        <v>6</v>
      </c>
      <c r="D8" t="s">
        <v>24</v>
      </c>
      <c r="E8" s="5" t="s">
        <v>37</v>
      </c>
      <c r="F8" t="s">
        <v>7</v>
      </c>
      <c r="G8" t="str">
        <f>_xlfn.CONCAT(Canonical[[#This Row],[Column1.id]:[Column1.discipline]])</f>
        <v>e_100_m_natacion_con_obstaculos_master_50_54_f100 m Natación con ObstáculosFMáster 50-54100Natación con Obstáculos</v>
      </c>
      <c r="H8">
        <f>COUNTIF(Canonical[Column1.id],Canonical[[#This Row],[Column1.id]])</f>
        <v>1</v>
      </c>
    </row>
    <row r="9" spans="1:8" x14ac:dyDescent="0.25">
      <c r="A9" t="s">
        <v>104</v>
      </c>
      <c r="B9" t="s">
        <v>12</v>
      </c>
      <c r="C9" t="s">
        <v>8</v>
      </c>
      <c r="D9" t="s">
        <v>24</v>
      </c>
      <c r="E9" s="5" t="s">
        <v>37</v>
      </c>
      <c r="F9" t="s">
        <v>7</v>
      </c>
      <c r="G9" t="str">
        <f>_xlfn.CONCAT(Canonical[[#This Row],[Column1.id]:[Column1.discipline]])</f>
        <v>e_100_m_natacion_con_obstaculos_master_50_54_m100 m Natación con ObstáculosMMáster 50-54100Natación con Obstáculos</v>
      </c>
      <c r="H9">
        <f>COUNTIF(Canonical[Column1.id],Canonical[[#This Row],[Column1.id]])</f>
        <v>1</v>
      </c>
    </row>
    <row r="10" spans="1:8" x14ac:dyDescent="0.25">
      <c r="A10" t="s">
        <v>49</v>
      </c>
      <c r="B10" t="s">
        <v>12</v>
      </c>
      <c r="C10" t="s">
        <v>6</v>
      </c>
      <c r="D10" t="s">
        <v>17</v>
      </c>
      <c r="E10" s="5" t="s">
        <v>37</v>
      </c>
      <c r="F10" t="s">
        <v>7</v>
      </c>
      <c r="G10" t="str">
        <f>_xlfn.CONCAT(Canonical[[#This Row],[Column1.id]:[Column1.discipline]])</f>
        <v>e_100_m_natacion_con_obstaculos_master_55_59_f100 m Natación con ObstáculosFMáster 55-59100Natación con Obstáculos</v>
      </c>
      <c r="H10">
        <f>COUNTIF(Canonical[Column1.id],Canonical[[#This Row],[Column1.id]])</f>
        <v>1</v>
      </c>
    </row>
    <row r="11" spans="1:8" x14ac:dyDescent="0.25">
      <c r="A11" t="s">
        <v>16</v>
      </c>
      <c r="B11" t="s">
        <v>12</v>
      </c>
      <c r="C11" t="s">
        <v>8</v>
      </c>
      <c r="D11" t="s">
        <v>17</v>
      </c>
      <c r="E11" s="5" t="s">
        <v>37</v>
      </c>
      <c r="F11" t="s">
        <v>7</v>
      </c>
      <c r="G11" t="str">
        <f>_xlfn.CONCAT(Canonical[[#This Row],[Column1.id]:[Column1.discipline]])</f>
        <v>e_100_m_natacion_con_obstaculos_master_55_59_m100 m Natación con ObstáculosMMáster 55-59100Natación con Obstáculos</v>
      </c>
      <c r="H11">
        <f>COUNTIF(Canonical[Column1.id],Canonical[[#This Row],[Column1.id]])</f>
        <v>1</v>
      </c>
    </row>
    <row r="12" spans="1:8" x14ac:dyDescent="0.25">
      <c r="A12" t="s">
        <v>48</v>
      </c>
      <c r="B12" t="s">
        <v>12</v>
      </c>
      <c r="C12" t="s">
        <v>8</v>
      </c>
      <c r="D12" t="s">
        <v>27</v>
      </c>
      <c r="E12" s="5" t="s">
        <v>37</v>
      </c>
      <c r="F12" t="s">
        <v>7</v>
      </c>
      <c r="G12" t="str">
        <f>_xlfn.CONCAT(Canonical[[#This Row],[Column1.id]:[Column1.discipline]])</f>
        <v>e_100_m_natacion_con_obstaculos_master_60_64_m100 m Natación con ObstáculosMMáster 60-64100Natación con Obstáculos</v>
      </c>
      <c r="H12">
        <f>COUNTIF(Canonical[Column1.id],Canonical[[#This Row],[Column1.id]])</f>
        <v>1</v>
      </c>
    </row>
    <row r="13" spans="1:8" x14ac:dyDescent="0.25">
      <c r="A13" t="s">
        <v>95</v>
      </c>
      <c r="B13" t="s">
        <v>12</v>
      </c>
      <c r="C13" t="s">
        <v>8</v>
      </c>
      <c r="D13" t="s">
        <v>96</v>
      </c>
      <c r="E13" s="5" t="s">
        <v>37</v>
      </c>
      <c r="F13" t="s">
        <v>7</v>
      </c>
      <c r="G13" t="str">
        <f>_xlfn.CONCAT(Canonical[[#This Row],[Column1.id]:[Column1.discipline]])</f>
        <v>e_100_m_natacion_con_obstaculos_master_70_74_m100 m Natación con ObstáculosMMáster 70-74100Natación con Obstáculos</v>
      </c>
      <c r="H13">
        <f>COUNTIF(Canonical[Column1.id],Canonical[[#This Row],[Column1.id]])</f>
        <v>1</v>
      </c>
    </row>
    <row r="14" spans="1:8" x14ac:dyDescent="0.25">
      <c r="A14" t="s">
        <v>73</v>
      </c>
      <c r="B14" t="s">
        <v>15</v>
      </c>
      <c r="C14" t="s">
        <v>6</v>
      </c>
      <c r="D14" t="s">
        <v>22</v>
      </c>
      <c r="E14" s="5" t="s">
        <v>37</v>
      </c>
      <c r="F14" t="s">
        <v>11</v>
      </c>
      <c r="G14" t="str">
        <f>_xlfn.CONCAT(Canonical[[#This Row],[Column1.id]:[Column1.discipline]])</f>
        <v>e_100_m_remolque_de_maniqui_con_aletas_master_30_34_f100 m Remolque de Maniquí con AletasFMáster 30-34100Remolque de Maniquí con Aletas</v>
      </c>
      <c r="H14">
        <f>COUNTIF(Canonical[Column1.id],Canonical[[#This Row],[Column1.id]])</f>
        <v>1</v>
      </c>
    </row>
    <row r="15" spans="1:8" x14ac:dyDescent="0.25">
      <c r="A15" t="s">
        <v>88</v>
      </c>
      <c r="B15" t="s">
        <v>15</v>
      </c>
      <c r="C15" t="s">
        <v>8</v>
      </c>
      <c r="D15" t="s">
        <v>22</v>
      </c>
      <c r="E15" s="5" t="s">
        <v>37</v>
      </c>
      <c r="F15" t="s">
        <v>11</v>
      </c>
      <c r="G15" t="str">
        <f>_xlfn.CONCAT(Canonical[[#This Row],[Column1.id]:[Column1.discipline]])</f>
        <v>e_100_m_remolque_de_maniqui_con_aletas_master_30_34_m100 m Remolque de Maniquí con AletasMMáster 30-34100Remolque de Maniquí con Aletas</v>
      </c>
      <c r="H15">
        <f>COUNTIF(Canonical[Column1.id],Canonical[[#This Row],[Column1.id]])</f>
        <v>1</v>
      </c>
    </row>
    <row r="16" spans="1:8" x14ac:dyDescent="0.25">
      <c r="A16" t="s">
        <v>106</v>
      </c>
      <c r="B16" t="s">
        <v>15</v>
      </c>
      <c r="C16" t="s">
        <v>6</v>
      </c>
      <c r="D16" t="s">
        <v>23</v>
      </c>
      <c r="E16" s="5" t="s">
        <v>37</v>
      </c>
      <c r="F16" t="s">
        <v>11</v>
      </c>
      <c r="G16" t="str">
        <f>_xlfn.CONCAT(Canonical[[#This Row],[Column1.id]:[Column1.discipline]])</f>
        <v>e_100_m_remolque_de_maniqui_con_aletas_master_35_39_f100 m Remolque de Maniquí con AletasFMáster 35-39100Remolque de Maniquí con Aletas</v>
      </c>
      <c r="H16">
        <f>COUNTIF(Canonical[Column1.id],Canonical[[#This Row],[Column1.id]])</f>
        <v>1</v>
      </c>
    </row>
    <row r="17" spans="1:8" x14ac:dyDescent="0.25">
      <c r="A17" t="s">
        <v>107</v>
      </c>
      <c r="B17" t="s">
        <v>15</v>
      </c>
      <c r="C17" t="s">
        <v>8</v>
      </c>
      <c r="D17" t="s">
        <v>23</v>
      </c>
      <c r="E17" s="5" t="s">
        <v>37</v>
      </c>
      <c r="F17" t="s">
        <v>11</v>
      </c>
      <c r="G17" t="str">
        <f>_xlfn.CONCAT(Canonical[[#This Row],[Column1.id]:[Column1.discipline]])</f>
        <v>e_100_m_remolque_de_maniqui_con_aletas_master_35_39_m100 m Remolque de Maniquí con AletasMMáster 35-39100Remolque de Maniquí con Aletas</v>
      </c>
      <c r="H17">
        <f>COUNTIF(Canonical[Column1.id],Canonical[[#This Row],[Column1.id]])</f>
        <v>1</v>
      </c>
    </row>
    <row r="18" spans="1:8" x14ac:dyDescent="0.25">
      <c r="A18" t="s">
        <v>76</v>
      </c>
      <c r="B18" t="s">
        <v>15</v>
      </c>
      <c r="C18" t="s">
        <v>8</v>
      </c>
      <c r="D18" t="s">
        <v>25</v>
      </c>
      <c r="E18" s="5" t="s">
        <v>37</v>
      </c>
      <c r="F18" t="s">
        <v>11</v>
      </c>
      <c r="G18" t="str">
        <f>_xlfn.CONCAT(Canonical[[#This Row],[Column1.id]:[Column1.discipline]])</f>
        <v>e_100_m_remolque_de_maniqui_con_aletas_master_40_44_m100 m Remolque de Maniquí con AletasMMáster 40-44100Remolque de Maniquí con Aletas</v>
      </c>
      <c r="H18">
        <f>COUNTIF(Canonical[Column1.id],Canonical[[#This Row],[Column1.id]])</f>
        <v>1</v>
      </c>
    </row>
    <row r="19" spans="1:8" x14ac:dyDescent="0.25">
      <c r="A19" t="s">
        <v>108</v>
      </c>
      <c r="B19" t="s">
        <v>15</v>
      </c>
      <c r="C19" t="s">
        <v>6</v>
      </c>
      <c r="D19" t="s">
        <v>26</v>
      </c>
      <c r="E19" s="5" t="s">
        <v>37</v>
      </c>
      <c r="F19" t="s">
        <v>11</v>
      </c>
      <c r="G19" t="str">
        <f>_xlfn.CONCAT(Canonical[[#This Row],[Column1.id]:[Column1.discipline]])</f>
        <v>e_100_m_remolque_de_maniqui_con_aletas_master_45_49_f100 m Remolque de Maniquí con AletasFMáster 45-49100Remolque de Maniquí con Aletas</v>
      </c>
      <c r="H19">
        <f>COUNTIF(Canonical[Column1.id],Canonical[[#This Row],[Column1.id]])</f>
        <v>1</v>
      </c>
    </row>
    <row r="20" spans="1:8" x14ac:dyDescent="0.25">
      <c r="A20" t="s">
        <v>75</v>
      </c>
      <c r="B20" t="s">
        <v>15</v>
      </c>
      <c r="C20" t="s">
        <v>8</v>
      </c>
      <c r="D20" t="s">
        <v>26</v>
      </c>
      <c r="E20" s="5" t="s">
        <v>37</v>
      </c>
      <c r="F20" t="s">
        <v>11</v>
      </c>
      <c r="G20" t="str">
        <f>_xlfn.CONCAT(Canonical[[#This Row],[Column1.id]:[Column1.discipline]])</f>
        <v>e_100_m_remolque_de_maniqui_con_aletas_master_45_49_m100 m Remolque de Maniquí con AletasMMáster 45-49100Remolque de Maniquí con Aletas</v>
      </c>
      <c r="H20">
        <f>COUNTIF(Canonical[Column1.id],Canonical[[#This Row],[Column1.id]])</f>
        <v>1</v>
      </c>
    </row>
    <row r="21" spans="1:8" x14ac:dyDescent="0.25">
      <c r="A21" t="s">
        <v>72</v>
      </c>
      <c r="B21" t="s">
        <v>15</v>
      </c>
      <c r="C21" t="s">
        <v>6</v>
      </c>
      <c r="D21" t="s">
        <v>24</v>
      </c>
      <c r="E21" s="5" t="s">
        <v>37</v>
      </c>
      <c r="F21" t="s">
        <v>11</v>
      </c>
      <c r="G21" t="str">
        <f>_xlfn.CONCAT(Canonical[[#This Row],[Column1.id]:[Column1.discipline]])</f>
        <v>e_100_m_remolque_de_maniqui_con_aletas_master_50_54_f100 m Remolque de Maniquí con AletasFMáster 50-54100Remolque de Maniquí con Aletas</v>
      </c>
      <c r="H21">
        <f>COUNTIF(Canonical[Column1.id],Canonical[[#This Row],[Column1.id]])</f>
        <v>1</v>
      </c>
    </row>
    <row r="22" spans="1:8" x14ac:dyDescent="0.25">
      <c r="A22" t="s">
        <v>70</v>
      </c>
      <c r="B22" t="s">
        <v>15</v>
      </c>
      <c r="C22" t="s">
        <v>8</v>
      </c>
      <c r="D22" t="s">
        <v>24</v>
      </c>
      <c r="E22" s="5" t="s">
        <v>37</v>
      </c>
      <c r="F22" t="s">
        <v>11</v>
      </c>
      <c r="G22" t="str">
        <f>_xlfn.CONCAT(Canonical[[#This Row],[Column1.id]:[Column1.discipline]])</f>
        <v>e_100_m_remolque_de_maniqui_con_aletas_master_50_54_m100 m Remolque de Maniquí con AletasMMáster 50-54100Remolque de Maniquí con Aletas</v>
      </c>
      <c r="H22">
        <f>COUNTIF(Canonical[Column1.id],Canonical[[#This Row],[Column1.id]])</f>
        <v>1</v>
      </c>
    </row>
    <row r="23" spans="1:8" x14ac:dyDescent="0.25">
      <c r="A23" t="s">
        <v>71</v>
      </c>
      <c r="B23" t="s">
        <v>15</v>
      </c>
      <c r="C23" t="s">
        <v>6</v>
      </c>
      <c r="D23" t="s">
        <v>17</v>
      </c>
      <c r="E23" s="5" t="s">
        <v>37</v>
      </c>
      <c r="F23" t="s">
        <v>11</v>
      </c>
      <c r="G23" t="str">
        <f>_xlfn.CONCAT(Canonical[[#This Row],[Column1.id]:[Column1.discipline]])</f>
        <v>e_100_m_remolque_de_maniqui_con_aletas_master_55_59_f100 m Remolque de Maniquí con AletasFMáster 55-59100Remolque de Maniquí con Aletas</v>
      </c>
      <c r="H23">
        <f>COUNTIF(Canonical[Column1.id],Canonical[[#This Row],[Column1.id]])</f>
        <v>1</v>
      </c>
    </row>
    <row r="24" spans="1:8" x14ac:dyDescent="0.25">
      <c r="A24" t="s">
        <v>69</v>
      </c>
      <c r="B24" t="s">
        <v>15</v>
      </c>
      <c r="C24" t="s">
        <v>8</v>
      </c>
      <c r="D24" t="s">
        <v>17</v>
      </c>
      <c r="E24" s="5" t="s">
        <v>37</v>
      </c>
      <c r="F24" t="s">
        <v>11</v>
      </c>
      <c r="G24" t="str">
        <f>_xlfn.CONCAT(Canonical[[#This Row],[Column1.id]:[Column1.discipline]])</f>
        <v>e_100_m_remolque_de_maniqui_con_aletas_master_55_59_m100 m Remolque de Maniquí con AletasMMáster 55-59100Remolque de Maniquí con Aletas</v>
      </c>
      <c r="H24">
        <f>COUNTIF(Canonical[Column1.id],Canonical[[#This Row],[Column1.id]])</f>
        <v>1</v>
      </c>
    </row>
    <row r="25" spans="1:8" x14ac:dyDescent="0.25">
      <c r="A25" t="s">
        <v>74</v>
      </c>
      <c r="B25" t="s">
        <v>15</v>
      </c>
      <c r="C25" t="s">
        <v>8</v>
      </c>
      <c r="D25" t="s">
        <v>27</v>
      </c>
      <c r="E25" s="5" t="s">
        <v>37</v>
      </c>
      <c r="F25" t="s">
        <v>11</v>
      </c>
      <c r="G25" t="str">
        <f>_xlfn.CONCAT(Canonical[[#This Row],[Column1.id]:[Column1.discipline]])</f>
        <v>e_100_m_remolque_de_maniqui_con_aletas_master_60_64_m100 m Remolque de Maniquí con AletasMMáster 60-64100Remolque de Maniquí con Aletas</v>
      </c>
      <c r="H25">
        <f>COUNTIF(Canonical[Column1.id],Canonical[[#This Row],[Column1.id]])</f>
        <v>1</v>
      </c>
    </row>
    <row r="26" spans="1:8" x14ac:dyDescent="0.25">
      <c r="A26" t="s">
        <v>105</v>
      </c>
      <c r="B26" t="s">
        <v>15</v>
      </c>
      <c r="C26" t="s">
        <v>8</v>
      </c>
      <c r="D26" t="s">
        <v>96</v>
      </c>
      <c r="E26" s="5" t="s">
        <v>37</v>
      </c>
      <c r="F26" t="s">
        <v>11</v>
      </c>
      <c r="G26" t="str">
        <f>_xlfn.CONCAT(Canonical[[#This Row],[Column1.id]:[Column1.discipline]])</f>
        <v>e_100_m_remolque_de_maniqui_con_aletas_master_70_74_m100 m Remolque de Maniquí con AletasMMáster 70-74100Remolque de Maniquí con Aletas</v>
      </c>
      <c r="H26">
        <f>COUNTIF(Canonical[Column1.id],Canonical[[#This Row],[Column1.id]])</f>
        <v>1</v>
      </c>
    </row>
    <row r="27" spans="1:8" x14ac:dyDescent="0.25">
      <c r="A27" t="s">
        <v>52</v>
      </c>
      <c r="B27" t="s">
        <v>13</v>
      </c>
      <c r="C27" t="s">
        <v>6</v>
      </c>
      <c r="D27" t="s">
        <v>22</v>
      </c>
      <c r="E27" s="5" t="s">
        <v>37</v>
      </c>
      <c r="F27" t="s">
        <v>9</v>
      </c>
      <c r="G27" t="str">
        <f>_xlfn.CONCAT(Canonical[[#This Row],[Column1.id]:[Column1.discipline]])</f>
        <v>e_100_m_socorrista_master_30_34_f100 m SocorristaFMáster 30-34100Socorrista</v>
      </c>
      <c r="H27">
        <f>COUNTIF(Canonical[Column1.id],Canonical[[#This Row],[Column1.id]])</f>
        <v>1</v>
      </c>
    </row>
    <row r="28" spans="1:8" x14ac:dyDescent="0.25">
      <c r="A28" t="s">
        <v>89</v>
      </c>
      <c r="B28" t="s">
        <v>13</v>
      </c>
      <c r="C28" t="s">
        <v>8</v>
      </c>
      <c r="D28" t="s">
        <v>22</v>
      </c>
      <c r="E28" s="5" t="s">
        <v>37</v>
      </c>
      <c r="F28" t="s">
        <v>9</v>
      </c>
      <c r="G28" t="str">
        <f>_xlfn.CONCAT(Canonical[[#This Row],[Column1.id]:[Column1.discipline]])</f>
        <v>e_100_m_socorrista_master_30_34_m100 m SocorristaMMáster 30-34100Socorrista</v>
      </c>
      <c r="H28">
        <f>COUNTIF(Canonical[Column1.id],Canonical[[#This Row],[Column1.id]])</f>
        <v>1</v>
      </c>
    </row>
    <row r="29" spans="1:8" x14ac:dyDescent="0.25">
      <c r="A29" t="s">
        <v>111</v>
      </c>
      <c r="B29" t="s">
        <v>13</v>
      </c>
      <c r="C29" t="s">
        <v>6</v>
      </c>
      <c r="D29" t="s">
        <v>23</v>
      </c>
      <c r="E29" s="5" t="s">
        <v>37</v>
      </c>
      <c r="F29" t="s">
        <v>9</v>
      </c>
      <c r="G29" t="str">
        <f>_xlfn.CONCAT(Canonical[[#This Row],[Column1.id]:[Column1.discipline]])</f>
        <v>e_100_m_socorrista_master_35_39_f100 m SocorristaFMáster 35-39100Socorrista</v>
      </c>
      <c r="H29">
        <f>COUNTIF(Canonical[Column1.id],Canonical[[#This Row],[Column1.id]])</f>
        <v>1</v>
      </c>
    </row>
    <row r="30" spans="1:8" x14ac:dyDescent="0.25">
      <c r="A30" t="s">
        <v>110</v>
      </c>
      <c r="B30" t="s">
        <v>13</v>
      </c>
      <c r="C30" t="s">
        <v>8</v>
      </c>
      <c r="D30" t="s">
        <v>23</v>
      </c>
      <c r="E30" s="5" t="s">
        <v>37</v>
      </c>
      <c r="F30" t="s">
        <v>9</v>
      </c>
      <c r="G30" t="str">
        <f>_xlfn.CONCAT(Canonical[[#This Row],[Column1.id]:[Column1.discipline]])</f>
        <v>e_100_m_socorrista_master_35_39_m100 m SocorristaMMáster 35-39100Socorrista</v>
      </c>
      <c r="H30">
        <f>COUNTIF(Canonical[Column1.id],Canonical[[#This Row],[Column1.id]])</f>
        <v>1</v>
      </c>
    </row>
    <row r="31" spans="1:8" x14ac:dyDescent="0.25">
      <c r="A31" t="s">
        <v>55</v>
      </c>
      <c r="B31" t="s">
        <v>13</v>
      </c>
      <c r="C31" t="s">
        <v>8</v>
      </c>
      <c r="D31" t="s">
        <v>25</v>
      </c>
      <c r="E31" s="5" t="s">
        <v>37</v>
      </c>
      <c r="F31" t="s">
        <v>9</v>
      </c>
      <c r="G31" t="str">
        <f>_xlfn.CONCAT(Canonical[[#This Row],[Column1.id]:[Column1.discipline]])</f>
        <v>e_100_m_socorrista_master_40_44_m100 m SocorristaMMáster 40-44100Socorrista</v>
      </c>
      <c r="H31">
        <f>COUNTIF(Canonical[Column1.id],Canonical[[#This Row],[Column1.id]])</f>
        <v>1</v>
      </c>
    </row>
    <row r="32" spans="1:8" x14ac:dyDescent="0.25">
      <c r="A32" t="s">
        <v>90</v>
      </c>
      <c r="B32" t="s">
        <v>13</v>
      </c>
      <c r="C32" t="s">
        <v>6</v>
      </c>
      <c r="D32" t="s">
        <v>26</v>
      </c>
      <c r="E32" s="5" t="s">
        <v>37</v>
      </c>
      <c r="F32" t="s">
        <v>9</v>
      </c>
      <c r="G32" t="str">
        <f>_xlfn.CONCAT(Canonical[[#This Row],[Column1.id]:[Column1.discipline]])</f>
        <v>e_100_m_socorrista_master_45_49_f100 m SocorristaFMáster 45-49100Socorrista</v>
      </c>
      <c r="H32">
        <f>COUNTIF(Canonical[Column1.id],Canonical[[#This Row],[Column1.id]])</f>
        <v>1</v>
      </c>
    </row>
    <row r="33" spans="1:8" x14ac:dyDescent="0.25">
      <c r="A33" t="s">
        <v>54</v>
      </c>
      <c r="B33" t="s">
        <v>13</v>
      </c>
      <c r="C33" t="s">
        <v>8</v>
      </c>
      <c r="D33" t="s">
        <v>26</v>
      </c>
      <c r="E33" s="5" t="s">
        <v>37</v>
      </c>
      <c r="F33" t="s">
        <v>9</v>
      </c>
      <c r="G33" t="str">
        <f>_xlfn.CONCAT(Canonical[[#This Row],[Column1.id]:[Column1.discipline]])</f>
        <v>e_100_m_socorrista_master_45_49_m100 m SocorristaMMáster 45-49100Socorrista</v>
      </c>
      <c r="H33">
        <f>COUNTIF(Canonical[Column1.id],Canonical[[#This Row],[Column1.id]])</f>
        <v>1</v>
      </c>
    </row>
    <row r="34" spans="1:8" x14ac:dyDescent="0.25">
      <c r="A34" t="s">
        <v>50</v>
      </c>
      <c r="B34" t="s">
        <v>13</v>
      </c>
      <c r="C34" t="s">
        <v>6</v>
      </c>
      <c r="D34" t="s">
        <v>24</v>
      </c>
      <c r="E34" s="5" t="s">
        <v>37</v>
      </c>
      <c r="F34" t="s">
        <v>9</v>
      </c>
      <c r="G34" t="str">
        <f>_xlfn.CONCAT(Canonical[[#This Row],[Column1.id]:[Column1.discipline]])</f>
        <v>e_100_m_socorrista_master_50_54_f100 m SocorristaFMáster 50-54100Socorrista</v>
      </c>
      <c r="H34">
        <f>COUNTIF(Canonical[Column1.id],Canonical[[#This Row],[Column1.id]])</f>
        <v>1</v>
      </c>
    </row>
    <row r="35" spans="1:8" x14ac:dyDescent="0.25">
      <c r="A35" t="s">
        <v>56</v>
      </c>
      <c r="B35" t="s">
        <v>13</v>
      </c>
      <c r="C35" t="s">
        <v>8</v>
      </c>
      <c r="D35" t="s">
        <v>24</v>
      </c>
      <c r="E35" s="5" t="s">
        <v>37</v>
      </c>
      <c r="F35" t="s">
        <v>9</v>
      </c>
      <c r="G35" t="str">
        <f>_xlfn.CONCAT(Canonical[[#This Row],[Column1.id]:[Column1.discipline]])</f>
        <v>e_100_m_socorrista_master_50_54_m100 m SocorristaMMáster 50-54100Socorrista</v>
      </c>
      <c r="H35">
        <f>COUNTIF(Canonical[Column1.id],Canonical[[#This Row],[Column1.id]])</f>
        <v>1</v>
      </c>
    </row>
    <row r="36" spans="1:8" x14ac:dyDescent="0.25">
      <c r="A36" t="s">
        <v>51</v>
      </c>
      <c r="B36" t="s">
        <v>13</v>
      </c>
      <c r="C36" t="s">
        <v>6</v>
      </c>
      <c r="D36" t="s">
        <v>17</v>
      </c>
      <c r="E36" s="5" t="s">
        <v>37</v>
      </c>
      <c r="F36" t="s">
        <v>9</v>
      </c>
      <c r="G36" t="str">
        <f>_xlfn.CONCAT(Canonical[[#This Row],[Column1.id]:[Column1.discipline]])</f>
        <v>e_100_m_socorrista_master_55_59_f100 m SocorristaFMáster 55-59100Socorrista</v>
      </c>
      <c r="H36">
        <f>COUNTIF(Canonical[Column1.id],Canonical[[#This Row],[Column1.id]])</f>
        <v>1</v>
      </c>
    </row>
    <row r="37" spans="1:8" x14ac:dyDescent="0.25">
      <c r="A37" t="s">
        <v>57</v>
      </c>
      <c r="B37" t="s">
        <v>13</v>
      </c>
      <c r="C37" t="s">
        <v>8</v>
      </c>
      <c r="D37" t="s">
        <v>17</v>
      </c>
      <c r="E37" s="5" t="s">
        <v>37</v>
      </c>
      <c r="F37" t="s">
        <v>9</v>
      </c>
      <c r="G37" t="str">
        <f>_xlfn.CONCAT(Canonical[[#This Row],[Column1.id]:[Column1.discipline]])</f>
        <v>e_100_m_socorrista_master_55_59_m100 m SocorristaMMáster 55-59100Socorrista</v>
      </c>
      <c r="H37">
        <f>COUNTIF(Canonical[Column1.id],Canonical[[#This Row],[Column1.id]])</f>
        <v>1</v>
      </c>
    </row>
    <row r="38" spans="1:8" x14ac:dyDescent="0.25">
      <c r="A38" t="s">
        <v>53</v>
      </c>
      <c r="B38" t="s">
        <v>13</v>
      </c>
      <c r="C38" t="s">
        <v>8</v>
      </c>
      <c r="D38" t="s">
        <v>27</v>
      </c>
      <c r="E38" s="5" t="s">
        <v>37</v>
      </c>
      <c r="F38" t="s">
        <v>9</v>
      </c>
      <c r="G38" t="str">
        <f>_xlfn.CONCAT(Canonical[[#This Row],[Column1.id]:[Column1.discipline]])</f>
        <v>e_100_m_socorrista_master_60_64_m100 m SocorristaMMáster 60-64100Socorrista</v>
      </c>
      <c r="H38">
        <f>COUNTIF(Canonical[Column1.id],Canonical[[#This Row],[Column1.id]])</f>
        <v>1</v>
      </c>
    </row>
    <row r="39" spans="1:8" x14ac:dyDescent="0.25">
      <c r="A39" t="s">
        <v>109</v>
      </c>
      <c r="B39" t="s">
        <v>13</v>
      </c>
      <c r="C39" t="s">
        <v>8</v>
      </c>
      <c r="D39" t="s">
        <v>96</v>
      </c>
      <c r="E39" s="5" t="s">
        <v>37</v>
      </c>
      <c r="F39" t="s">
        <v>9</v>
      </c>
      <c r="G39" t="str">
        <f>_xlfn.CONCAT(Canonical[[#This Row],[Column1.id]:[Column1.discipline]])</f>
        <v>e_100_m_socorrista_master_70_74_m100 m SocorristaMMáster 70-74100Socorrista</v>
      </c>
      <c r="H39">
        <f>COUNTIF(Canonical[Column1.id],Canonical[[#This Row],[Column1.id]])</f>
        <v>1</v>
      </c>
    </row>
    <row r="40" spans="1:8" x14ac:dyDescent="0.25">
      <c r="A40" t="s">
        <v>115</v>
      </c>
      <c r="B40" t="s">
        <v>35</v>
      </c>
      <c r="C40" t="s">
        <v>6</v>
      </c>
      <c r="D40" t="s">
        <v>113</v>
      </c>
      <c r="E40" s="5" t="s">
        <v>18</v>
      </c>
      <c r="F40" t="s">
        <v>20</v>
      </c>
      <c r="G40" t="str">
        <f>_xlfn.CONCAT(Canonical[[#This Row],[Column1.id]:[Column1.discipline]])</f>
        <v>e_4x25_m_relevo_remolque_de_maniqui_master_r4_120_f4x25 m Relevo Remolque de ManiquíFMáster R4 +1204x25Relevo Remolque de Maniquí</v>
      </c>
      <c r="H40">
        <f>COUNTIF(Canonical[Column1.id],Canonical[[#This Row],[Column1.id]])</f>
        <v>1</v>
      </c>
    </row>
    <row r="41" spans="1:8" x14ac:dyDescent="0.25">
      <c r="A41" t="s">
        <v>112</v>
      </c>
      <c r="B41" t="s">
        <v>35</v>
      </c>
      <c r="C41" t="s">
        <v>8</v>
      </c>
      <c r="D41" t="s">
        <v>113</v>
      </c>
      <c r="E41" s="5" t="s">
        <v>18</v>
      </c>
      <c r="F41" t="s">
        <v>20</v>
      </c>
      <c r="G41" t="str">
        <f>_xlfn.CONCAT(Canonical[[#This Row],[Column1.id]:[Column1.discipline]])</f>
        <v>e_4x25_m_relevo_remolque_de_maniqui_master_r4_120_m4x25 m Relevo Remolque de ManiquíMMáster R4 +1204x25Relevo Remolque de Maniquí</v>
      </c>
      <c r="H41">
        <f>COUNTIF(Canonical[Column1.id],Canonical[[#This Row],[Column1.id]])</f>
        <v>1</v>
      </c>
    </row>
    <row r="42" spans="1:8" x14ac:dyDescent="0.25">
      <c r="A42" t="s">
        <v>114</v>
      </c>
      <c r="B42" t="s">
        <v>35</v>
      </c>
      <c r="C42" t="s">
        <v>8</v>
      </c>
      <c r="D42" t="s">
        <v>33</v>
      </c>
      <c r="E42" s="5" t="s">
        <v>18</v>
      </c>
      <c r="F42" t="s">
        <v>20</v>
      </c>
      <c r="G42" t="str">
        <f>_xlfn.CONCAT(Canonical[[#This Row],[Column1.id]:[Column1.discipline]])</f>
        <v>e_4x25_m_relevo_remolque_de_maniqui_master_r4_140_m4x25 m Relevo Remolque de ManiquíMMáster R4 +1404x25Relevo Remolque de Maniquí</v>
      </c>
      <c r="H42">
        <f>COUNTIF(Canonical[Column1.id],Canonical[[#This Row],[Column1.id]])</f>
        <v>1</v>
      </c>
    </row>
    <row r="43" spans="1:8" x14ac:dyDescent="0.25">
      <c r="A43" t="s">
        <v>91</v>
      </c>
      <c r="B43" t="s">
        <v>35</v>
      </c>
      <c r="C43" t="s">
        <v>6</v>
      </c>
      <c r="D43" t="s">
        <v>30</v>
      </c>
      <c r="E43" s="5" t="s">
        <v>18</v>
      </c>
      <c r="F43" t="s">
        <v>20</v>
      </c>
      <c r="G43" t="str">
        <f>_xlfn.CONCAT(Canonical[[#This Row],[Column1.id]:[Column1.discipline]])</f>
        <v>e_4x25_m_relevo_remolque_de_maniqui_master_r4_170_f4x25 m Relevo Remolque de ManiquíFMáster R4 +1704x25Relevo Remolque de Maniquí</v>
      </c>
      <c r="H43">
        <f>COUNTIF(Canonical[Column1.id],Canonical[[#This Row],[Column1.id]])</f>
        <v>1</v>
      </c>
    </row>
    <row r="44" spans="1:8" x14ac:dyDescent="0.25">
      <c r="A44" t="s">
        <v>78</v>
      </c>
      <c r="B44" t="s">
        <v>35</v>
      </c>
      <c r="C44" t="s">
        <v>8</v>
      </c>
      <c r="D44" t="s">
        <v>30</v>
      </c>
      <c r="E44" s="5" t="s">
        <v>18</v>
      </c>
      <c r="F44" t="s">
        <v>20</v>
      </c>
      <c r="G44" t="str">
        <f>_xlfn.CONCAT(Canonical[[#This Row],[Column1.id]:[Column1.discipline]])</f>
        <v>e_4x25_m_relevo_remolque_de_maniqui_master_r4_170_m4x25 m Relevo Remolque de ManiquíMMáster R4 +1704x25Relevo Remolque de Maniquí</v>
      </c>
      <c r="H44">
        <f>COUNTIF(Canonical[Column1.id],Canonical[[#This Row],[Column1.id]])</f>
        <v>1</v>
      </c>
    </row>
    <row r="45" spans="1:8" x14ac:dyDescent="0.25">
      <c r="A45" t="s">
        <v>77</v>
      </c>
      <c r="B45" t="s">
        <v>35</v>
      </c>
      <c r="C45" t="s">
        <v>6</v>
      </c>
      <c r="D45" t="s">
        <v>32</v>
      </c>
      <c r="E45" s="5" t="s">
        <v>18</v>
      </c>
      <c r="F45" t="s">
        <v>20</v>
      </c>
      <c r="G45" t="str">
        <f>_xlfn.CONCAT(Canonical[[#This Row],[Column1.id]:[Column1.discipline]])</f>
        <v>e_4x25_m_relevo_remolque_de_maniqui_master_r4_200_f4x25 m Relevo Remolque de ManiquíFMáster R4 +2004x25Relevo Remolque de Maniquí</v>
      </c>
      <c r="H45">
        <f>COUNTIF(Canonical[Column1.id],Canonical[[#This Row],[Column1.id]])</f>
        <v>1</v>
      </c>
    </row>
    <row r="46" spans="1:8" x14ac:dyDescent="0.25">
      <c r="A46" t="s">
        <v>79</v>
      </c>
      <c r="B46" t="s">
        <v>35</v>
      </c>
      <c r="C46" t="s">
        <v>8</v>
      </c>
      <c r="D46" t="s">
        <v>32</v>
      </c>
      <c r="E46" s="5" t="s">
        <v>18</v>
      </c>
      <c r="F46" t="s">
        <v>20</v>
      </c>
      <c r="G46" t="str">
        <f>_xlfn.CONCAT(Canonical[[#This Row],[Column1.id]:[Column1.discipline]])</f>
        <v>e_4x25_m_relevo_remolque_de_maniqui_master_r4_200_m4x25 m Relevo Remolque de ManiquíMMáster R4 +2004x25Relevo Remolque de Maniquí</v>
      </c>
      <c r="H46">
        <f>COUNTIF(Canonical[Column1.id],Canonical[[#This Row],[Column1.id]])</f>
        <v>1</v>
      </c>
    </row>
    <row r="47" spans="1:8" x14ac:dyDescent="0.25">
      <c r="A47" t="s">
        <v>116</v>
      </c>
      <c r="B47" t="s">
        <v>35</v>
      </c>
      <c r="C47" t="s">
        <v>8</v>
      </c>
      <c r="D47" t="s">
        <v>34</v>
      </c>
      <c r="E47" s="5" t="s">
        <v>18</v>
      </c>
      <c r="F47" t="s">
        <v>20</v>
      </c>
      <c r="G47" t="str">
        <f>_xlfn.CONCAT(Canonical[[#This Row],[Column1.id]:[Column1.discipline]])</f>
        <v>e_4x25_m_relevo_remolque_de_maniqui_master_r4_230_m4x25 m Relevo Remolque de ManiquíMMáster R4 +2304x25Relevo Remolque de Maniquí</v>
      </c>
      <c r="H47">
        <f>COUNTIF(Canonical[Column1.id],Canonical[[#This Row],[Column1.id]])</f>
        <v>1</v>
      </c>
    </row>
    <row r="48" spans="1:8" x14ac:dyDescent="0.25">
      <c r="A48" t="s">
        <v>117</v>
      </c>
      <c r="B48" t="s">
        <v>36</v>
      </c>
      <c r="C48" t="s">
        <v>6</v>
      </c>
      <c r="D48" t="s">
        <v>113</v>
      </c>
      <c r="E48" s="5" t="s">
        <v>31</v>
      </c>
      <c r="F48" t="s">
        <v>21</v>
      </c>
      <c r="G48" t="str">
        <f>_xlfn.CONCAT(Canonical[[#This Row],[Column1.id]:[Column1.discipline]])</f>
        <v>e_4x50_m_relevo_combinado_master_r4_120_f4x50 m Relevo CombinadoFMáster R4 +1204x50Relevo Combinado</v>
      </c>
      <c r="H48">
        <f>COUNTIF(Canonical[Column1.id],Canonical[[#This Row],[Column1.id]])</f>
        <v>1</v>
      </c>
    </row>
    <row r="49" spans="1:8" x14ac:dyDescent="0.25">
      <c r="A49" t="s">
        <v>118</v>
      </c>
      <c r="B49" t="s">
        <v>36</v>
      </c>
      <c r="C49" t="s">
        <v>8</v>
      </c>
      <c r="D49" t="s">
        <v>113</v>
      </c>
      <c r="E49" s="5" t="s">
        <v>31</v>
      </c>
      <c r="F49" t="s">
        <v>21</v>
      </c>
      <c r="G49" t="str">
        <f>_xlfn.CONCAT(Canonical[[#This Row],[Column1.id]:[Column1.discipline]])</f>
        <v>e_4x50_m_relevo_combinado_master_r4_120_m4x50 m Relevo CombinadoMMáster R4 +1204x50Relevo Combinado</v>
      </c>
      <c r="H49">
        <f>COUNTIF(Canonical[Column1.id],Canonical[[#This Row],[Column1.id]])</f>
        <v>1</v>
      </c>
    </row>
    <row r="50" spans="1:8" x14ac:dyDescent="0.25">
      <c r="A50" t="s">
        <v>120</v>
      </c>
      <c r="B50" t="s">
        <v>36</v>
      </c>
      <c r="C50" t="s">
        <v>8</v>
      </c>
      <c r="D50" t="s">
        <v>33</v>
      </c>
      <c r="E50" s="5" t="s">
        <v>31</v>
      </c>
      <c r="F50" t="s">
        <v>21</v>
      </c>
      <c r="G50" t="str">
        <f>_xlfn.CONCAT(Canonical[[#This Row],[Column1.id]:[Column1.discipline]])</f>
        <v>e_4x50_m_relevo_combinado_master_r4_140_m4x50 m Relevo CombinadoMMáster R4 +1404x50Relevo Combinado</v>
      </c>
      <c r="H50">
        <f>COUNTIF(Canonical[Column1.id],Canonical[[#This Row],[Column1.id]])</f>
        <v>1</v>
      </c>
    </row>
    <row r="51" spans="1:8" x14ac:dyDescent="0.25">
      <c r="A51" t="s">
        <v>92</v>
      </c>
      <c r="B51" t="s">
        <v>36</v>
      </c>
      <c r="C51" t="s">
        <v>6</v>
      </c>
      <c r="D51" t="s">
        <v>30</v>
      </c>
      <c r="E51" s="5" t="s">
        <v>31</v>
      </c>
      <c r="F51" t="s">
        <v>21</v>
      </c>
      <c r="G51" t="str">
        <f>_xlfn.CONCAT(Canonical[[#This Row],[Column1.id]:[Column1.discipline]])</f>
        <v>e_4x50_m_relevo_combinado_master_r4_170_f4x50 m Relevo CombinadoFMáster R4 +1704x50Relevo Combinado</v>
      </c>
      <c r="H51">
        <f>COUNTIF(Canonical[Column1.id],Canonical[[#This Row],[Column1.id]])</f>
        <v>1</v>
      </c>
    </row>
    <row r="52" spans="1:8" x14ac:dyDescent="0.25">
      <c r="A52" t="s">
        <v>58</v>
      </c>
      <c r="B52" t="s">
        <v>36</v>
      </c>
      <c r="C52" t="s">
        <v>8</v>
      </c>
      <c r="D52" t="s">
        <v>30</v>
      </c>
      <c r="E52" s="5" t="s">
        <v>31</v>
      </c>
      <c r="F52" t="s">
        <v>21</v>
      </c>
      <c r="G52" t="str">
        <f>_xlfn.CONCAT(Canonical[[#This Row],[Column1.id]:[Column1.discipline]])</f>
        <v>e_4x50_m_relevo_combinado_master_r4_170_m4x50 m Relevo CombinadoMMáster R4 +1704x50Relevo Combinado</v>
      </c>
      <c r="H52">
        <f>COUNTIF(Canonical[Column1.id],Canonical[[#This Row],[Column1.id]])</f>
        <v>1</v>
      </c>
    </row>
    <row r="53" spans="1:8" x14ac:dyDescent="0.25">
      <c r="A53" t="s">
        <v>119</v>
      </c>
      <c r="B53" t="s">
        <v>36</v>
      </c>
      <c r="C53" t="s">
        <v>6</v>
      </c>
      <c r="D53" t="s">
        <v>32</v>
      </c>
      <c r="E53" s="5" t="s">
        <v>31</v>
      </c>
      <c r="F53" t="s">
        <v>21</v>
      </c>
      <c r="G53" t="str">
        <f>_xlfn.CONCAT(Canonical[[#This Row],[Column1.id]:[Column1.discipline]])</f>
        <v>e_4x50_m_relevo_combinado_master_r4_200_f4x50 m Relevo CombinadoFMáster R4 +2004x50Relevo Combinado</v>
      </c>
      <c r="H53">
        <f>COUNTIF(Canonical[Column1.id],Canonical[[#This Row],[Column1.id]])</f>
        <v>1</v>
      </c>
    </row>
    <row r="54" spans="1:8" x14ac:dyDescent="0.25">
      <c r="A54" t="s">
        <v>121</v>
      </c>
      <c r="B54" t="s">
        <v>36</v>
      </c>
      <c r="C54" t="s">
        <v>8</v>
      </c>
      <c r="D54" t="s">
        <v>32</v>
      </c>
      <c r="E54" s="5" t="s">
        <v>31</v>
      </c>
      <c r="F54" t="s">
        <v>21</v>
      </c>
      <c r="G54" t="str">
        <f>_xlfn.CONCAT(Canonical[[#This Row],[Column1.id]:[Column1.discipline]])</f>
        <v>e_4x50_m_relevo_combinado_master_r4_200_m4x50 m Relevo CombinadoMMáster R4 +2004x50Relevo Combinado</v>
      </c>
      <c r="H54">
        <f>COUNTIF(Canonical[Column1.id],Canonical[[#This Row],[Column1.id]])</f>
        <v>1</v>
      </c>
    </row>
    <row r="55" spans="1:8" x14ac:dyDescent="0.25">
      <c r="A55" t="s">
        <v>122</v>
      </c>
      <c r="B55" t="s">
        <v>36</v>
      </c>
      <c r="C55" t="s">
        <v>8</v>
      </c>
      <c r="D55" t="s">
        <v>34</v>
      </c>
      <c r="E55" s="5" t="s">
        <v>31</v>
      </c>
      <c r="F55" t="s">
        <v>21</v>
      </c>
      <c r="G55" t="str">
        <f>_xlfn.CONCAT(Canonical[[#This Row],[Column1.id]:[Column1.discipline]])</f>
        <v>e_4x50_m_relevo_combinado_master_r4_230_m4x50 m Relevo CombinadoMMáster R4 +2304x50Relevo Combinado</v>
      </c>
      <c r="H55">
        <f>COUNTIF(Canonical[Column1.id],Canonical[[#This Row],[Column1.id]])</f>
        <v>1</v>
      </c>
    </row>
    <row r="56" spans="1:8" x14ac:dyDescent="0.25">
      <c r="A56" t="s">
        <v>126</v>
      </c>
      <c r="B56" t="s">
        <v>29</v>
      </c>
      <c r="C56" t="s">
        <v>6</v>
      </c>
      <c r="D56" t="s">
        <v>113</v>
      </c>
      <c r="E56" s="5" t="s">
        <v>31</v>
      </c>
      <c r="F56" t="s">
        <v>19</v>
      </c>
      <c r="G56" t="str">
        <f>_xlfn.CONCAT(Canonical[[#This Row],[Column1.id]:[Column1.discipline]])</f>
        <v>e_4x50_m_relevo_natacion_con_obstaculos_master_r4_120_f4x50 m Relevo Natación con ObstáculosFMáster R4 +1204x50Relevo Natación con Obstáculos</v>
      </c>
      <c r="H56">
        <f>COUNTIF(Canonical[Column1.id],Canonical[[#This Row],[Column1.id]])</f>
        <v>1</v>
      </c>
    </row>
    <row r="57" spans="1:8" x14ac:dyDescent="0.25">
      <c r="A57" t="s">
        <v>124</v>
      </c>
      <c r="B57" t="s">
        <v>29</v>
      </c>
      <c r="C57" t="s">
        <v>8</v>
      </c>
      <c r="D57" t="s">
        <v>113</v>
      </c>
      <c r="E57" s="5" t="s">
        <v>31</v>
      </c>
      <c r="F57" t="s">
        <v>19</v>
      </c>
      <c r="G57" t="str">
        <f>_xlfn.CONCAT(Canonical[[#This Row],[Column1.id]:[Column1.discipline]])</f>
        <v>e_4x50_m_relevo_natacion_con_obstaculos_master_r4_120_m4x50 m Relevo Natación con ObstáculosMMáster R4 +1204x50Relevo Natación con Obstáculos</v>
      </c>
      <c r="H57">
        <f>COUNTIF(Canonical[Column1.id],Canonical[[#This Row],[Column1.id]])</f>
        <v>1</v>
      </c>
    </row>
    <row r="58" spans="1:8" x14ac:dyDescent="0.25">
      <c r="A58" t="s">
        <v>127</v>
      </c>
      <c r="B58" t="s">
        <v>29</v>
      </c>
      <c r="C58" t="s">
        <v>8</v>
      </c>
      <c r="D58" t="s">
        <v>33</v>
      </c>
      <c r="E58" s="5" t="s">
        <v>31</v>
      </c>
      <c r="F58" t="s">
        <v>19</v>
      </c>
      <c r="G58" t="str">
        <f>_xlfn.CONCAT(Canonical[[#This Row],[Column1.id]:[Column1.discipline]])</f>
        <v>e_4x50_m_relevo_natacion_con_obstaculos_master_r4_140_m4x50 m Relevo Natación con ObstáculosMMáster R4 +1404x50Relevo Natación con Obstáculos</v>
      </c>
      <c r="H58">
        <f>COUNTIF(Canonical[Column1.id],Canonical[[#This Row],[Column1.id]])</f>
        <v>1</v>
      </c>
    </row>
    <row r="59" spans="1:8" x14ac:dyDescent="0.25">
      <c r="A59" t="s">
        <v>93</v>
      </c>
      <c r="B59" t="s">
        <v>29</v>
      </c>
      <c r="C59" t="s">
        <v>8</v>
      </c>
      <c r="D59" t="s">
        <v>30</v>
      </c>
      <c r="E59" s="5" t="s">
        <v>31</v>
      </c>
      <c r="F59" t="s">
        <v>19</v>
      </c>
      <c r="G59" t="str">
        <f>_xlfn.CONCAT(Canonical[[#This Row],[Column1.id]:[Column1.discipline]])</f>
        <v>e_4x50_m_relevo_natacion_con_obstaculos_master_r4_170_m4x50 m Relevo Natación con ObstáculosMMáster R4 +1704x50Relevo Natación con Obstáculos</v>
      </c>
      <c r="H59">
        <f>COUNTIF(Canonical[Column1.id],Canonical[[#This Row],[Column1.id]])</f>
        <v>1</v>
      </c>
    </row>
    <row r="60" spans="1:8" x14ac:dyDescent="0.25">
      <c r="A60" t="s">
        <v>125</v>
      </c>
      <c r="B60" t="s">
        <v>29</v>
      </c>
      <c r="C60" t="s">
        <v>6</v>
      </c>
      <c r="D60" t="s">
        <v>32</v>
      </c>
      <c r="E60" s="5" t="s">
        <v>31</v>
      </c>
      <c r="F60" t="s">
        <v>19</v>
      </c>
      <c r="G60" t="str">
        <f>_xlfn.CONCAT(Canonical[[#This Row],[Column1.id]:[Column1.discipline]])</f>
        <v>e_4x50_m_relevo_natacion_con_obstaculos_master_r4_200_f4x50 m Relevo Natación con ObstáculosFMáster R4 +2004x50Relevo Natación con Obstáculos</v>
      </c>
      <c r="H60">
        <f>COUNTIF(Canonical[Column1.id],Canonical[[#This Row],[Column1.id]])</f>
        <v>1</v>
      </c>
    </row>
    <row r="61" spans="1:8" x14ac:dyDescent="0.25">
      <c r="A61" t="s">
        <v>123</v>
      </c>
      <c r="B61" t="s">
        <v>29</v>
      </c>
      <c r="C61" t="s">
        <v>8</v>
      </c>
      <c r="D61" t="s">
        <v>32</v>
      </c>
      <c r="E61" s="5" t="s">
        <v>31</v>
      </c>
      <c r="F61" t="s">
        <v>19</v>
      </c>
      <c r="G61" t="str">
        <f>_xlfn.CONCAT(Canonical[[#This Row],[Column1.id]:[Column1.discipline]])</f>
        <v>e_4x50_m_relevo_natacion_con_obstaculos_master_r4_200_m4x50 m Relevo Natación con ObstáculosMMáster R4 +2004x50Relevo Natación con Obstáculos</v>
      </c>
      <c r="H61">
        <f>COUNTIF(Canonical[Column1.id],Canonical[[#This Row],[Column1.id]])</f>
        <v>1</v>
      </c>
    </row>
    <row r="62" spans="1:8" x14ac:dyDescent="0.25">
      <c r="A62" t="s">
        <v>59</v>
      </c>
      <c r="B62" t="s">
        <v>29</v>
      </c>
      <c r="C62" t="s">
        <v>8</v>
      </c>
      <c r="D62" t="s">
        <v>34</v>
      </c>
      <c r="E62" s="5" t="s">
        <v>31</v>
      </c>
      <c r="F62" t="s">
        <v>19</v>
      </c>
      <c r="G62" t="str">
        <f>_xlfn.CONCAT(Canonical[[#This Row],[Column1.id]:[Column1.discipline]])</f>
        <v>e_4x50_m_relevo_natacion_con_obstaculos_master_r4_230_m4x50 m Relevo Natación con ObstáculosMMáster R4 +2304x50Relevo Natación con Obstáculos</v>
      </c>
      <c r="H62">
        <f>COUNTIF(Canonical[Column1.id],Canonical[[#This Row],[Column1.id]])</f>
        <v>1</v>
      </c>
    </row>
    <row r="63" spans="1:8" x14ac:dyDescent="0.25">
      <c r="A63" t="s">
        <v>87</v>
      </c>
      <c r="B63" t="s">
        <v>14</v>
      </c>
      <c r="C63" t="s">
        <v>6</v>
      </c>
      <c r="D63" t="s">
        <v>22</v>
      </c>
      <c r="E63" s="5" t="s">
        <v>38</v>
      </c>
      <c r="F63" t="s">
        <v>10</v>
      </c>
      <c r="G63" t="str">
        <f>_xlfn.CONCAT(Canonical[[#This Row],[Column1.id]:[Column1.discipline]])</f>
        <v>e_50_m_remolque_de_maniqui_master_30_34_f50 m Remolque de ManiquíFMáster 30-3450Remolque de Maniquí</v>
      </c>
      <c r="H63">
        <f>COUNTIF(Canonical[Column1.id],Canonical[[#This Row],[Column1.id]])</f>
        <v>1</v>
      </c>
    </row>
    <row r="64" spans="1:8" x14ac:dyDescent="0.25">
      <c r="A64" t="s">
        <v>81</v>
      </c>
      <c r="B64" t="s">
        <v>14</v>
      </c>
      <c r="C64" t="s">
        <v>8</v>
      </c>
      <c r="D64" t="s">
        <v>22</v>
      </c>
      <c r="E64" s="5" t="s">
        <v>38</v>
      </c>
      <c r="F64" t="s">
        <v>10</v>
      </c>
      <c r="G64" t="str">
        <f>_xlfn.CONCAT(Canonical[[#This Row],[Column1.id]:[Column1.discipline]])</f>
        <v>e_50_m_remolque_de_maniqui_master_30_34_m50 m Remolque de ManiquíMMáster 30-3450Remolque de Maniquí</v>
      </c>
      <c r="H64">
        <f>COUNTIF(Canonical[Column1.id],Canonical[[#This Row],[Column1.id]])</f>
        <v>1</v>
      </c>
    </row>
    <row r="65" spans="1:8" x14ac:dyDescent="0.25">
      <c r="A65" t="s">
        <v>129</v>
      </c>
      <c r="B65" t="s">
        <v>14</v>
      </c>
      <c r="C65" t="s">
        <v>6</v>
      </c>
      <c r="D65" t="s">
        <v>23</v>
      </c>
      <c r="E65" s="5" t="s">
        <v>38</v>
      </c>
      <c r="F65" t="s">
        <v>10</v>
      </c>
      <c r="G65" t="str">
        <f>_xlfn.CONCAT(Canonical[[#This Row],[Column1.id]:[Column1.discipline]])</f>
        <v>e_50_m_remolque_de_maniqui_master_35_39_f50 m Remolque de ManiquíFMáster 35-3950Remolque de Maniquí</v>
      </c>
      <c r="H65">
        <f>COUNTIF(Canonical[Column1.id],Canonical[[#This Row],[Column1.id]])</f>
        <v>1</v>
      </c>
    </row>
    <row r="66" spans="1:8" x14ac:dyDescent="0.25">
      <c r="A66" t="s">
        <v>128</v>
      </c>
      <c r="B66" t="s">
        <v>14</v>
      </c>
      <c r="C66" t="s">
        <v>8</v>
      </c>
      <c r="D66" t="s">
        <v>23</v>
      </c>
      <c r="E66" s="5" t="s">
        <v>38</v>
      </c>
      <c r="F66" t="s">
        <v>10</v>
      </c>
      <c r="G66" t="str">
        <f>_xlfn.CONCAT(Canonical[[#This Row],[Column1.id]:[Column1.discipline]])</f>
        <v>e_50_m_remolque_de_maniqui_master_35_39_m50 m Remolque de ManiquíMMáster 35-3950Remolque de Maniquí</v>
      </c>
      <c r="H66">
        <f>COUNTIF(Canonical[Column1.id],Canonical[[#This Row],[Column1.id]])</f>
        <v>1</v>
      </c>
    </row>
    <row r="67" spans="1:8" x14ac:dyDescent="0.25">
      <c r="A67" t="s">
        <v>84</v>
      </c>
      <c r="B67" t="s">
        <v>14</v>
      </c>
      <c r="C67" t="s">
        <v>8</v>
      </c>
      <c r="D67" t="s">
        <v>25</v>
      </c>
      <c r="E67" s="5" t="s">
        <v>38</v>
      </c>
      <c r="F67" t="s">
        <v>10</v>
      </c>
      <c r="G67" t="str">
        <f>_xlfn.CONCAT(Canonical[[#This Row],[Column1.id]:[Column1.discipline]])</f>
        <v>e_50_m_remolque_de_maniqui_master_40_44_m50 m Remolque de ManiquíMMáster 40-4450Remolque de Maniquí</v>
      </c>
      <c r="H67">
        <f>COUNTIF(Canonical[Column1.id],Canonical[[#This Row],[Column1.id]])</f>
        <v>1</v>
      </c>
    </row>
    <row r="68" spans="1:8" x14ac:dyDescent="0.25">
      <c r="A68" t="s">
        <v>131</v>
      </c>
      <c r="B68" t="s">
        <v>14</v>
      </c>
      <c r="C68" t="s">
        <v>6</v>
      </c>
      <c r="D68" t="s">
        <v>26</v>
      </c>
      <c r="E68" s="5" t="s">
        <v>38</v>
      </c>
      <c r="F68" t="s">
        <v>10</v>
      </c>
      <c r="G68" t="str">
        <f>_xlfn.CONCAT(Canonical[[#This Row],[Column1.id]:[Column1.discipline]])</f>
        <v>e_50_m_remolque_de_maniqui_master_45_49_f50 m Remolque de ManiquíFMáster 45-4950Remolque de Maniquí</v>
      </c>
      <c r="H68">
        <f>COUNTIF(Canonical[Column1.id],Canonical[[#This Row],[Column1.id]])</f>
        <v>1</v>
      </c>
    </row>
    <row r="69" spans="1:8" x14ac:dyDescent="0.25">
      <c r="A69" t="s">
        <v>80</v>
      </c>
      <c r="B69" t="s">
        <v>14</v>
      </c>
      <c r="C69" t="s">
        <v>8</v>
      </c>
      <c r="D69" t="s">
        <v>26</v>
      </c>
      <c r="E69" s="5" t="s">
        <v>38</v>
      </c>
      <c r="F69" t="s">
        <v>10</v>
      </c>
      <c r="G69" t="str">
        <f>_xlfn.CONCAT(Canonical[[#This Row],[Column1.id]:[Column1.discipline]])</f>
        <v>e_50_m_remolque_de_maniqui_master_45_49_m50 m Remolque de ManiquíMMáster 45-4950Remolque de Maniquí</v>
      </c>
      <c r="H69">
        <f>COUNTIF(Canonical[Column1.id],Canonical[[#This Row],[Column1.id]])</f>
        <v>1</v>
      </c>
    </row>
    <row r="70" spans="1:8" x14ac:dyDescent="0.25">
      <c r="A70" t="s">
        <v>85</v>
      </c>
      <c r="B70" t="s">
        <v>14</v>
      </c>
      <c r="C70" t="s">
        <v>6</v>
      </c>
      <c r="D70" t="s">
        <v>24</v>
      </c>
      <c r="E70" s="5" t="s">
        <v>38</v>
      </c>
      <c r="F70" t="s">
        <v>10</v>
      </c>
      <c r="G70" t="str">
        <f>_xlfn.CONCAT(Canonical[[#This Row],[Column1.id]:[Column1.discipline]])</f>
        <v>e_50_m_remolque_de_maniqui_master_50_54_f50 m Remolque de ManiquíFMáster 50-5450Remolque de Maniquí</v>
      </c>
      <c r="H70">
        <f>COUNTIF(Canonical[Column1.id],Canonical[[#This Row],[Column1.id]])</f>
        <v>1</v>
      </c>
    </row>
    <row r="71" spans="1:8" x14ac:dyDescent="0.25">
      <c r="A71" t="s">
        <v>83</v>
      </c>
      <c r="B71" t="s">
        <v>14</v>
      </c>
      <c r="C71" t="s">
        <v>8</v>
      </c>
      <c r="D71" t="s">
        <v>24</v>
      </c>
      <c r="E71" s="5" t="s">
        <v>38</v>
      </c>
      <c r="F71" t="s">
        <v>10</v>
      </c>
      <c r="G71" t="str">
        <f>_xlfn.CONCAT(Canonical[[#This Row],[Column1.id]:[Column1.discipline]])</f>
        <v>e_50_m_remolque_de_maniqui_master_50_54_m50 m Remolque de ManiquíMMáster 50-5450Remolque de Maniquí</v>
      </c>
      <c r="H71">
        <f>COUNTIF(Canonical[Column1.id],Canonical[[#This Row],[Column1.id]])</f>
        <v>1</v>
      </c>
    </row>
    <row r="72" spans="1:8" x14ac:dyDescent="0.25">
      <c r="A72" t="s">
        <v>86</v>
      </c>
      <c r="B72" t="s">
        <v>14</v>
      </c>
      <c r="C72" t="s">
        <v>6</v>
      </c>
      <c r="D72" t="s">
        <v>17</v>
      </c>
      <c r="E72" s="5" t="s">
        <v>38</v>
      </c>
      <c r="F72" t="s">
        <v>10</v>
      </c>
      <c r="G72" t="str">
        <f>_xlfn.CONCAT(Canonical[[#This Row],[Column1.id]:[Column1.discipline]])</f>
        <v>e_50_m_remolque_de_maniqui_master_55_59_f50 m Remolque de ManiquíFMáster 55-5950Remolque de Maniquí</v>
      </c>
      <c r="H72">
        <f>COUNTIF(Canonical[Column1.id],Canonical[[#This Row],[Column1.id]])</f>
        <v>1</v>
      </c>
    </row>
    <row r="73" spans="1:8" x14ac:dyDescent="0.25">
      <c r="A73" t="s">
        <v>82</v>
      </c>
      <c r="B73" t="s">
        <v>14</v>
      </c>
      <c r="C73" t="s">
        <v>8</v>
      </c>
      <c r="D73" t="s">
        <v>17</v>
      </c>
      <c r="E73" s="5" t="s">
        <v>38</v>
      </c>
      <c r="F73" t="s">
        <v>10</v>
      </c>
      <c r="G73" t="str">
        <f>_xlfn.CONCAT(Canonical[[#This Row],[Column1.id]:[Column1.discipline]])</f>
        <v>e_50_m_remolque_de_maniqui_master_55_59_m50 m Remolque de ManiquíMMáster 55-5950Remolque de Maniquí</v>
      </c>
      <c r="H73">
        <f>COUNTIF(Canonical[Column1.id],Canonical[[#This Row],[Column1.id]])</f>
        <v>1</v>
      </c>
    </row>
    <row r="74" spans="1:8" x14ac:dyDescent="0.25">
      <c r="A74" t="s">
        <v>130</v>
      </c>
      <c r="B74" t="s">
        <v>14</v>
      </c>
      <c r="C74" t="s">
        <v>8</v>
      </c>
      <c r="D74" t="s">
        <v>27</v>
      </c>
      <c r="E74" s="5" t="s">
        <v>38</v>
      </c>
      <c r="F74" t="s">
        <v>10</v>
      </c>
      <c r="G74" t="str">
        <f>_xlfn.CONCAT(Canonical[[#This Row],[Column1.id]:[Column1.discipline]])</f>
        <v>e_50_m_remolque_de_maniqui_master_60_64_m50 m Remolque de ManiquíMMáster 60-6450Remolque de Maniquí</v>
      </c>
      <c r="H74">
        <f>COUNTIF(Canonical[Column1.id],Canonical[[#This Row],[Column1.id]])</f>
        <v>1</v>
      </c>
    </row>
    <row r="75" spans="1:8" x14ac:dyDescent="0.25">
      <c r="A75" t="s">
        <v>132</v>
      </c>
      <c r="B75" t="s">
        <v>14</v>
      </c>
      <c r="C75" t="s">
        <v>8</v>
      </c>
      <c r="D75" t="s">
        <v>96</v>
      </c>
      <c r="E75" s="5" t="s">
        <v>38</v>
      </c>
      <c r="F75" t="s">
        <v>10</v>
      </c>
      <c r="G75" t="str">
        <f>_xlfn.CONCAT(Canonical[[#This Row],[Column1.id]:[Column1.discipline]])</f>
        <v>e_50_m_remolque_de_maniqui_master_70_74_m50 m Remolque de ManiquíMMáster 70-7450Remolque de Maniquí</v>
      </c>
      <c r="H75">
        <f>COUNTIF(Canonical[Column1.id],Canonical[[#This Row],[Column1.id]])</f>
        <v>1</v>
      </c>
    </row>
    <row r="76" spans="1:8" x14ac:dyDescent="0.25">
      <c r="A76" t="s">
        <v>63</v>
      </c>
      <c r="B76" t="s">
        <v>28</v>
      </c>
      <c r="C76" t="s">
        <v>6</v>
      </c>
      <c r="D76" t="s">
        <v>22</v>
      </c>
      <c r="E76" s="5"/>
      <c r="F76" t="s">
        <v>28</v>
      </c>
      <c r="G76" t="str">
        <f>_xlfn.CONCAT(Canonical[[#This Row],[Column1.id]:[Column1.discipline]])</f>
        <v>e_lanzamiento_de_cuerda_master_30_34_fLanzamiento de CuerdaFMáster 30-34Lanzamiento de Cuerda</v>
      </c>
      <c r="H76">
        <f>COUNTIF(Canonical[Column1.id],Canonical[[#This Row],[Column1.id]])</f>
        <v>1</v>
      </c>
    </row>
    <row r="77" spans="1:8" x14ac:dyDescent="0.25">
      <c r="A77" t="s">
        <v>65</v>
      </c>
      <c r="B77" t="s">
        <v>28</v>
      </c>
      <c r="C77" t="s">
        <v>8</v>
      </c>
      <c r="D77" t="s">
        <v>22</v>
      </c>
      <c r="E77" s="5"/>
      <c r="F77" t="s">
        <v>28</v>
      </c>
      <c r="G77" t="str">
        <f>_xlfn.CONCAT(Canonical[[#This Row],[Column1.id]:[Column1.discipline]])</f>
        <v>e_lanzamiento_de_cuerda_master_30_34_mLanzamiento de CuerdaMMáster 30-34Lanzamiento de Cuerda</v>
      </c>
      <c r="H77">
        <f>COUNTIF(Canonical[Column1.id],Canonical[[#This Row],[Column1.id]])</f>
        <v>1</v>
      </c>
    </row>
    <row r="78" spans="1:8" x14ac:dyDescent="0.25">
      <c r="A78" t="s">
        <v>134</v>
      </c>
      <c r="B78" t="s">
        <v>28</v>
      </c>
      <c r="C78" t="s">
        <v>6</v>
      </c>
      <c r="D78" t="s">
        <v>23</v>
      </c>
      <c r="E78" s="5"/>
      <c r="F78" t="s">
        <v>28</v>
      </c>
      <c r="G78" t="str">
        <f>_xlfn.CONCAT(Canonical[[#This Row],[Column1.id]:[Column1.discipline]])</f>
        <v>e_lanzamiento_de_cuerda_master_35_39_fLanzamiento de CuerdaFMáster 35-39Lanzamiento de Cuerda</v>
      </c>
      <c r="H78">
        <f>COUNTIF(Canonical[Column1.id],Canonical[[#This Row],[Column1.id]])</f>
        <v>1</v>
      </c>
    </row>
    <row r="79" spans="1:8" x14ac:dyDescent="0.25">
      <c r="A79" t="s">
        <v>94</v>
      </c>
      <c r="B79" t="s">
        <v>28</v>
      </c>
      <c r="C79" t="s">
        <v>8</v>
      </c>
      <c r="D79" t="s">
        <v>23</v>
      </c>
      <c r="E79" s="5"/>
      <c r="F79" t="s">
        <v>28</v>
      </c>
      <c r="G79" t="str">
        <f>_xlfn.CONCAT(Canonical[[#This Row],[Column1.id]:[Column1.discipline]])</f>
        <v>e_lanzamiento_de_cuerda_master_35_39_mLanzamiento de CuerdaMMáster 35-39Lanzamiento de Cuerda</v>
      </c>
      <c r="H79">
        <f>COUNTIF(Canonical[Column1.id],Canonical[[#This Row],[Column1.id]])</f>
        <v>1</v>
      </c>
    </row>
    <row r="80" spans="1:8" x14ac:dyDescent="0.25">
      <c r="A80" t="s">
        <v>67</v>
      </c>
      <c r="B80" t="s">
        <v>28</v>
      </c>
      <c r="C80" t="s">
        <v>8</v>
      </c>
      <c r="D80" t="s">
        <v>25</v>
      </c>
      <c r="E80" s="5"/>
      <c r="F80" t="s">
        <v>28</v>
      </c>
      <c r="G80" t="str">
        <f>_xlfn.CONCAT(Canonical[[#This Row],[Column1.id]:[Column1.discipline]])</f>
        <v>e_lanzamiento_de_cuerda_master_40_44_mLanzamiento de CuerdaMMáster 40-44Lanzamiento de Cuerda</v>
      </c>
      <c r="H80">
        <f>COUNTIF(Canonical[Column1.id],Canonical[[#This Row],[Column1.id]])</f>
        <v>1</v>
      </c>
    </row>
    <row r="81" spans="1:8" x14ac:dyDescent="0.25">
      <c r="A81" t="s">
        <v>64</v>
      </c>
      <c r="B81" t="s">
        <v>28</v>
      </c>
      <c r="C81" t="s">
        <v>6</v>
      </c>
      <c r="D81" t="s">
        <v>26</v>
      </c>
      <c r="E81" s="5"/>
      <c r="F81" t="s">
        <v>28</v>
      </c>
      <c r="G81" t="str">
        <f>_xlfn.CONCAT(Canonical[[#This Row],[Column1.id]:[Column1.discipline]])</f>
        <v>e_lanzamiento_de_cuerda_master_45_49_fLanzamiento de CuerdaFMáster 45-49Lanzamiento de Cuerda</v>
      </c>
      <c r="H81">
        <f>COUNTIF(Canonical[Column1.id],Canonical[[#This Row],[Column1.id]])</f>
        <v>1</v>
      </c>
    </row>
    <row r="82" spans="1:8" x14ac:dyDescent="0.25">
      <c r="A82" t="s">
        <v>62</v>
      </c>
      <c r="B82" t="s">
        <v>28</v>
      </c>
      <c r="C82" t="s">
        <v>8</v>
      </c>
      <c r="D82" t="s">
        <v>26</v>
      </c>
      <c r="E82" s="5"/>
      <c r="F82" t="s">
        <v>28</v>
      </c>
      <c r="G82" t="str">
        <f>_xlfn.CONCAT(Canonical[[#This Row],[Column1.id]:[Column1.discipline]])</f>
        <v>e_lanzamiento_de_cuerda_master_45_49_mLanzamiento de CuerdaMMáster 45-49Lanzamiento de Cuerda</v>
      </c>
      <c r="H82">
        <f>COUNTIF(Canonical[Column1.id],Canonical[[#This Row],[Column1.id]])</f>
        <v>1</v>
      </c>
    </row>
    <row r="83" spans="1:8" x14ac:dyDescent="0.25">
      <c r="A83" t="s">
        <v>61</v>
      </c>
      <c r="B83" t="s">
        <v>28</v>
      </c>
      <c r="C83" t="s">
        <v>6</v>
      </c>
      <c r="D83" t="s">
        <v>24</v>
      </c>
      <c r="E83" s="5"/>
      <c r="F83" t="s">
        <v>28</v>
      </c>
      <c r="G83" t="str">
        <f>_xlfn.CONCAT(Canonical[[#This Row],[Column1.id]:[Column1.discipline]])</f>
        <v>e_lanzamiento_de_cuerda_master_50_54_fLanzamiento de CuerdaFMáster 50-54Lanzamiento de Cuerda</v>
      </c>
      <c r="H83">
        <f>COUNTIF(Canonical[Column1.id],Canonical[[#This Row],[Column1.id]])</f>
        <v>1</v>
      </c>
    </row>
    <row r="84" spans="1:8" x14ac:dyDescent="0.25">
      <c r="A84" t="s">
        <v>66</v>
      </c>
      <c r="B84" t="s">
        <v>28</v>
      </c>
      <c r="C84" t="s">
        <v>8</v>
      </c>
      <c r="D84" t="s">
        <v>24</v>
      </c>
      <c r="E84" s="5"/>
      <c r="F84" t="s">
        <v>28</v>
      </c>
      <c r="G84" t="str">
        <f>_xlfn.CONCAT(Canonical[[#This Row],[Column1.id]:[Column1.discipline]])</f>
        <v>e_lanzamiento_de_cuerda_master_50_54_mLanzamiento de CuerdaMMáster 50-54Lanzamiento de Cuerda</v>
      </c>
      <c r="H84">
        <f>COUNTIF(Canonical[Column1.id],Canonical[[#This Row],[Column1.id]])</f>
        <v>1</v>
      </c>
    </row>
    <row r="85" spans="1:8" x14ac:dyDescent="0.25">
      <c r="A85" t="s">
        <v>60</v>
      </c>
      <c r="B85" t="s">
        <v>28</v>
      </c>
      <c r="C85" t="s">
        <v>6</v>
      </c>
      <c r="D85" t="s">
        <v>17</v>
      </c>
      <c r="E85" s="5"/>
      <c r="F85" t="s">
        <v>28</v>
      </c>
      <c r="G85" t="str">
        <f>_xlfn.CONCAT(Canonical[[#This Row],[Column1.id]:[Column1.discipline]])</f>
        <v>e_lanzamiento_de_cuerda_master_55_59_fLanzamiento de CuerdaFMáster 55-59Lanzamiento de Cuerda</v>
      </c>
      <c r="H85">
        <f>COUNTIF(Canonical[Column1.id],Canonical[[#This Row],[Column1.id]])</f>
        <v>1</v>
      </c>
    </row>
    <row r="86" spans="1:8" x14ac:dyDescent="0.25">
      <c r="A86" t="s">
        <v>68</v>
      </c>
      <c r="B86" t="s">
        <v>28</v>
      </c>
      <c r="C86" t="s">
        <v>8</v>
      </c>
      <c r="D86" t="s">
        <v>17</v>
      </c>
      <c r="E86" s="5"/>
      <c r="F86" t="s">
        <v>28</v>
      </c>
      <c r="G86" t="str">
        <f>_xlfn.CONCAT(Canonical[[#This Row],[Column1.id]:[Column1.discipline]])</f>
        <v>e_lanzamiento_de_cuerda_master_55_59_mLanzamiento de CuerdaMMáster 55-59Lanzamiento de Cuerda</v>
      </c>
      <c r="H86">
        <f>COUNTIF(Canonical[Column1.id],Canonical[[#This Row],[Column1.id]])</f>
        <v>1</v>
      </c>
    </row>
    <row r="87" spans="1:8" x14ac:dyDescent="0.25">
      <c r="A87" t="s">
        <v>133</v>
      </c>
      <c r="B87" t="s">
        <v>28</v>
      </c>
      <c r="C87" t="s">
        <v>8</v>
      </c>
      <c r="D87" t="s">
        <v>27</v>
      </c>
      <c r="E87" s="5"/>
      <c r="F87" t="s">
        <v>28</v>
      </c>
      <c r="G87" t="str">
        <f>_xlfn.CONCAT(Canonical[[#This Row],[Column1.id]:[Column1.discipline]])</f>
        <v>e_lanzamiento_de_cuerda_master_60_64_mLanzamiento de CuerdaMMáster 60-64Lanzamiento de Cuerda</v>
      </c>
      <c r="H87">
        <f>COUNTIF(Canonical[Column1.id],Canonical[[#This Row],[Column1.id]])</f>
        <v>1</v>
      </c>
    </row>
  </sheetData>
  <conditionalFormatting sqref="A2:A87">
    <cfRule type="duplicateValues" dxfId="1" priority="16"/>
  </conditionalFormatting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64CEE87-644B-46E1-8B78-73380D91A752}">
  <ds:schemaRefs>
    <ds:schemaRef ds:uri="http://schemas.microsoft.com/DataMashup"/>
  </ds:schemaRefs>
</ds:datastoreItem>
</file>

<file path=docMetadata/LabelInfo.xml><?xml version="1.0" encoding="utf-8"?>
<clbl:labelList xmlns:clbl="http://schemas.microsoft.com/office/2020/mipLabelMetadata">
  <clbl:label id="{e0793d39-0939-496d-b129-198edd916feb}" enabled="0" method="" siteId="{e0793d39-0939-496d-b129-198edd916fe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Canonical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Carpintero, Mariano</dc:creator>
  <cp:lastModifiedBy>Carpintero, Mariano</cp:lastModifiedBy>
  <dcterms:created xsi:type="dcterms:W3CDTF">2026-04-17T13:28:57Z</dcterms:created>
  <dcterms:modified xsi:type="dcterms:W3CDTF">2026-04-17T20:18:34Z</dcterms:modified>
</cp:coreProperties>
</file>