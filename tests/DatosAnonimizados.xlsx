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mariano_carpintero_accenture_com/Documents/Documents/GitProjects/parseResultadosSyS/tests/"/>
    </mc:Choice>
  </mc:AlternateContent>
  <xr:revisionPtr revIDLastSave="665" documentId="8_{DBDFF266-DDA7-486C-8BE3-F1707927B183}" xr6:coauthVersionLast="47" xr6:coauthVersionMax="47" xr10:uidLastSave="{1156FF59-CEEA-41E5-A04E-26A10F02105F}"/>
  <bookViews>
    <workbookView xWindow="-120" yWindow="-16320" windowWidth="29040" windowHeight="16440" activeTab="2" xr2:uid="{07FCBE94-C8AC-49F1-926E-8D5721270D1C}"/>
  </bookViews>
  <sheets>
    <sheet name="Femenino" sheetId="1" r:id="rId1"/>
    <sheet name="Masculino" sheetId="2" r:id="rId2"/>
    <sheet name="MásterF" sheetId="3" r:id="rId3"/>
    <sheet name="MásterM" sheetId="4" r:id="rId4"/>
    <sheet name="Auxili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" i="5" l="1"/>
  <c r="BR5" i="5"/>
  <c r="BR6" i="5"/>
  <c r="BR7" i="5"/>
  <c r="BR8" i="5"/>
  <c r="BR9" i="5"/>
  <c r="BR10" i="5"/>
  <c r="BR11" i="5"/>
  <c r="BR12" i="5"/>
  <c r="BR13" i="5"/>
  <c r="BR14" i="5"/>
  <c r="BR15" i="5"/>
  <c r="D63" i="4" s="1" a="1"/>
  <c r="D63" i="4" s="1"/>
  <c r="BR16" i="5"/>
  <c r="BR17" i="5"/>
  <c r="BR18" i="5"/>
  <c r="BR19" i="5"/>
  <c r="BR20" i="5"/>
  <c r="BR21" i="5"/>
  <c r="BR22" i="5"/>
  <c r="BR23" i="5"/>
  <c r="BR24" i="5"/>
  <c r="BR25" i="5"/>
  <c r="BR26" i="5"/>
  <c r="BR27" i="5"/>
  <c r="D132" i="4" s="1" a="1"/>
  <c r="D132" i="4" s="1"/>
  <c r="BR28" i="5"/>
  <c r="BR29" i="5"/>
  <c r="BR30" i="5"/>
  <c r="BR31" i="5"/>
  <c r="BR32" i="5"/>
  <c r="BR33" i="5"/>
  <c r="BR34" i="5"/>
  <c r="BR35" i="5"/>
  <c r="BR36" i="5"/>
  <c r="BR37" i="5"/>
  <c r="BR38" i="5"/>
  <c r="BR39" i="5"/>
  <c r="D52" i="4" s="1" a="1"/>
  <c r="D52" i="4" s="1"/>
  <c r="BR40" i="5"/>
  <c r="BR41" i="5"/>
  <c r="BR42" i="5"/>
  <c r="BR43" i="5"/>
  <c r="BR44" i="5"/>
  <c r="BR45" i="5"/>
  <c r="BR46" i="5"/>
  <c r="BR47" i="5"/>
  <c r="BR48" i="5"/>
  <c r="BR49" i="5"/>
  <c r="BR50" i="5"/>
  <c r="BR51" i="5"/>
  <c r="BR52" i="5"/>
  <c r="BR53" i="5"/>
  <c r="BR54" i="5"/>
  <c r="BR55" i="5"/>
  <c r="BR56" i="5"/>
  <c r="BR57" i="5"/>
  <c r="BR58" i="5"/>
  <c r="BR59" i="5"/>
  <c r="BR60" i="5"/>
  <c r="BR61" i="5"/>
  <c r="BR62" i="5"/>
  <c r="BR63" i="5"/>
  <c r="BR64" i="5"/>
  <c r="BR65" i="5"/>
  <c r="BR66" i="5"/>
  <c r="BR67" i="5"/>
  <c r="BR68" i="5"/>
  <c r="BR69" i="5"/>
  <c r="BR70" i="5"/>
  <c r="BR71" i="5"/>
  <c r="BR72" i="5"/>
  <c r="BR73" i="5"/>
  <c r="BR74" i="5"/>
  <c r="BR75" i="5"/>
  <c r="D39" i="4" s="1" a="1"/>
  <c r="D39" i="4" s="1"/>
  <c r="BR76" i="5"/>
  <c r="BR77" i="5"/>
  <c r="BR78" i="5"/>
  <c r="BR79" i="5"/>
  <c r="BR80" i="5"/>
  <c r="BR81" i="5"/>
  <c r="BR82" i="5"/>
  <c r="BR83" i="5"/>
  <c r="BR84" i="5"/>
  <c r="BR85" i="5"/>
  <c r="BR86" i="5"/>
  <c r="BR87" i="5"/>
  <c r="D20" i="4" s="1" a="1"/>
  <c r="D20" i="4" s="1"/>
  <c r="BR88" i="5"/>
  <c r="BR89" i="5"/>
  <c r="BR90" i="5"/>
  <c r="BR91" i="5"/>
  <c r="BR92" i="5"/>
  <c r="BR93" i="5"/>
  <c r="BR94" i="5"/>
  <c r="BR95" i="5"/>
  <c r="BR96" i="5"/>
  <c r="BR97" i="5"/>
  <c r="BR98" i="5"/>
  <c r="BR99" i="5"/>
  <c r="D51" i="4" s="1" a="1"/>
  <c r="D51" i="4" s="1"/>
  <c r="BR100" i="5"/>
  <c r="BR101" i="5"/>
  <c r="BR102" i="5"/>
  <c r="BR103" i="5"/>
  <c r="BR104" i="5"/>
  <c r="BR105" i="5"/>
  <c r="BR106" i="5"/>
  <c r="BR107" i="5"/>
  <c r="BR108" i="5"/>
  <c r="BR109" i="5"/>
  <c r="BR110" i="5"/>
  <c r="BR111" i="5"/>
  <c r="D117" i="4" s="1" a="1"/>
  <c r="D117" i="4" s="1"/>
  <c r="BR112" i="5"/>
  <c r="BR113" i="5"/>
  <c r="BR114" i="5"/>
  <c r="BR115" i="5"/>
  <c r="BR116" i="5"/>
  <c r="BR117" i="5"/>
  <c r="BR118" i="5"/>
  <c r="BR119" i="5"/>
  <c r="BR120" i="5"/>
  <c r="BR121" i="5"/>
  <c r="BR122" i="5"/>
  <c r="BR123" i="5"/>
  <c r="D7" i="4" s="1" a="1"/>
  <c r="D7" i="4" s="1"/>
  <c r="BR124" i="5"/>
  <c r="BR125" i="5"/>
  <c r="BR126" i="5"/>
  <c r="BR127" i="5"/>
  <c r="BR128" i="5"/>
  <c r="BR129" i="5"/>
  <c r="BR130" i="5"/>
  <c r="BR131" i="5"/>
  <c r="BR132" i="5"/>
  <c r="BR133" i="5"/>
  <c r="BR134" i="5"/>
  <c r="BR135" i="5"/>
  <c r="D35" i="4" s="1" a="1"/>
  <c r="D35" i="4" s="1"/>
  <c r="BR136" i="5"/>
  <c r="BR137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D106" i="2" s="1" a="1"/>
  <c r="D106" i="2" s="1"/>
  <c r="AF24" i="5"/>
  <c r="AF25" i="5"/>
  <c r="AF26" i="5"/>
  <c r="AF27" i="5"/>
  <c r="AF28" i="5"/>
  <c r="AF29" i="5"/>
  <c r="AF30" i="5"/>
  <c r="AF31" i="5"/>
  <c r="AF32" i="5"/>
  <c r="AF33" i="5"/>
  <c r="AF34" i="5"/>
  <c r="D93" i="2" s="1" a="1"/>
  <c r="D93" i="2" s="1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D107" i="2" s="1" a="1"/>
  <c r="D107" i="2" s="1"/>
  <c r="AF84" i="5"/>
  <c r="AF85" i="5"/>
  <c r="AF86" i="5"/>
  <c r="AF87" i="5"/>
  <c r="AF88" i="5"/>
  <c r="AF89" i="5"/>
  <c r="AF90" i="5"/>
  <c r="AF91" i="5"/>
  <c r="AF92" i="5"/>
  <c r="AF93" i="5"/>
  <c r="AF94" i="5"/>
  <c r="AF95" i="5"/>
  <c r="D104" i="2" s="1" a="1"/>
  <c r="D104" i="2" s="1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D115" i="2" s="1" a="1"/>
  <c r="D115" i="2" s="1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D117" i="2" s="1" a="1"/>
  <c r="D117" i="2" s="1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B102" i="4" a="1"/>
  <c r="B102" i="4" s="1"/>
  <c r="C102" i="4" a="1"/>
  <c r="C102" i="4" s="1"/>
  <c r="E102" i="4"/>
  <c r="F102" i="4"/>
  <c r="G102" i="4"/>
  <c r="H102" i="4"/>
  <c r="B103" i="4" a="1"/>
  <c r="B103" i="4" s="1"/>
  <c r="C103" i="4" a="1"/>
  <c r="C103" i="4" s="1"/>
  <c r="E103" i="4"/>
  <c r="F103" i="4"/>
  <c r="G103" i="4"/>
  <c r="H103" i="4"/>
  <c r="B104" i="4" a="1"/>
  <c r="B104" i="4" s="1"/>
  <c r="C104" i="4" a="1"/>
  <c r="C104" i="4" s="1"/>
  <c r="E104" i="4"/>
  <c r="F104" i="4"/>
  <c r="G104" i="4"/>
  <c r="H104" i="4"/>
  <c r="B105" i="4" a="1"/>
  <c r="B105" i="4" s="1"/>
  <c r="C105" i="4" a="1"/>
  <c r="C105" i="4" s="1"/>
  <c r="E105" i="4"/>
  <c r="F105" i="4"/>
  <c r="G105" i="4"/>
  <c r="H105" i="4"/>
  <c r="B106" i="4" a="1"/>
  <c r="B106" i="4" s="1"/>
  <c r="C106" i="4" a="1"/>
  <c r="C106" i="4" s="1"/>
  <c r="E106" i="4"/>
  <c r="F106" i="4"/>
  <c r="G106" i="4"/>
  <c r="H106" i="4"/>
  <c r="B107" i="4" a="1"/>
  <c r="B107" i="4" s="1"/>
  <c r="C107" i="4" a="1"/>
  <c r="C107" i="4" s="1"/>
  <c r="E107" i="4"/>
  <c r="F107" i="4"/>
  <c r="G107" i="4"/>
  <c r="H107" i="4"/>
  <c r="B108" i="4" a="1"/>
  <c r="B108" i="4" s="1"/>
  <c r="C108" i="4" a="1"/>
  <c r="C108" i="4" s="1"/>
  <c r="E108" i="4"/>
  <c r="F108" i="4"/>
  <c r="G108" i="4"/>
  <c r="H108" i="4"/>
  <c r="B109" i="4" a="1"/>
  <c r="B109" i="4" s="1"/>
  <c r="C109" i="4" a="1"/>
  <c r="C109" i="4" s="1"/>
  <c r="E109" i="4"/>
  <c r="F109" i="4"/>
  <c r="G109" i="4"/>
  <c r="H109" i="4"/>
  <c r="B110" i="4" a="1"/>
  <c r="B110" i="4" s="1"/>
  <c r="C110" i="4" a="1"/>
  <c r="C110" i="4" s="1"/>
  <c r="E110" i="4"/>
  <c r="F110" i="4"/>
  <c r="G110" i="4"/>
  <c r="H110" i="4"/>
  <c r="B111" i="4" a="1"/>
  <c r="B111" i="4" s="1"/>
  <c r="C111" i="4" a="1"/>
  <c r="C111" i="4" s="1"/>
  <c r="E111" i="4"/>
  <c r="F111" i="4"/>
  <c r="G111" i="4"/>
  <c r="H111" i="4"/>
  <c r="B112" i="4" a="1"/>
  <c r="B112" i="4" s="1"/>
  <c r="C112" i="4" a="1"/>
  <c r="C112" i="4" s="1"/>
  <c r="E112" i="4"/>
  <c r="F112" i="4"/>
  <c r="G112" i="4"/>
  <c r="H112" i="4"/>
  <c r="B113" i="4" a="1"/>
  <c r="B113" i="4" s="1"/>
  <c r="C113" i="4" a="1"/>
  <c r="C113" i="4" s="1"/>
  <c r="E113" i="4"/>
  <c r="F113" i="4"/>
  <c r="G113" i="4"/>
  <c r="H113" i="4"/>
  <c r="B114" i="4" a="1"/>
  <c r="B114" i="4" s="1"/>
  <c r="C114" i="4" a="1"/>
  <c r="C114" i="4" s="1"/>
  <c r="E114" i="4"/>
  <c r="F114" i="4"/>
  <c r="G114" i="4"/>
  <c r="H114" i="4"/>
  <c r="B115" i="4" a="1"/>
  <c r="B115" i="4" s="1"/>
  <c r="C115" i="4" a="1"/>
  <c r="C115" i="4" s="1"/>
  <c r="E115" i="4"/>
  <c r="F115" i="4"/>
  <c r="G115" i="4"/>
  <c r="H115" i="4"/>
  <c r="B116" i="4" a="1"/>
  <c r="B116" i="4" s="1"/>
  <c r="C116" i="4" a="1"/>
  <c r="C116" i="4" s="1"/>
  <c r="E116" i="4"/>
  <c r="F116" i="4"/>
  <c r="G116" i="4"/>
  <c r="H116" i="4"/>
  <c r="B117" i="4" a="1"/>
  <c r="B117" i="4" s="1"/>
  <c r="C117" i="4" a="1"/>
  <c r="C117" i="4" s="1"/>
  <c r="E117" i="4"/>
  <c r="F117" i="4"/>
  <c r="G117" i="4"/>
  <c r="H117" i="4"/>
  <c r="B118" i="4" a="1"/>
  <c r="B118" i="4" s="1"/>
  <c r="C118" i="4" a="1"/>
  <c r="C118" i="4" s="1"/>
  <c r="E118" i="4"/>
  <c r="F118" i="4"/>
  <c r="G118" i="4"/>
  <c r="H118" i="4"/>
  <c r="B119" i="4" a="1"/>
  <c r="B119" i="4" s="1"/>
  <c r="C119" i="4" a="1"/>
  <c r="C119" i="4" s="1"/>
  <c r="E119" i="4"/>
  <c r="F119" i="4"/>
  <c r="G119" i="4"/>
  <c r="H119" i="4"/>
  <c r="B120" i="4" a="1"/>
  <c r="B120" i="4" s="1"/>
  <c r="C120" i="4" a="1"/>
  <c r="C120" i="4" s="1"/>
  <c r="E120" i="4"/>
  <c r="F120" i="4"/>
  <c r="G120" i="4"/>
  <c r="H120" i="4"/>
  <c r="B121" i="4" a="1"/>
  <c r="B121" i="4" s="1"/>
  <c r="C121" i="4" a="1"/>
  <c r="C121" i="4" s="1"/>
  <c r="E121" i="4"/>
  <c r="F121" i="4"/>
  <c r="G121" i="4"/>
  <c r="H121" i="4"/>
  <c r="B122" i="4" a="1"/>
  <c r="B122" i="4" s="1"/>
  <c r="C122" i="4" a="1"/>
  <c r="C122" i="4" s="1"/>
  <c r="E122" i="4"/>
  <c r="F122" i="4"/>
  <c r="G122" i="4"/>
  <c r="H122" i="4"/>
  <c r="B123" i="4" a="1"/>
  <c r="B123" i="4" s="1"/>
  <c r="C123" i="4" a="1"/>
  <c r="C123" i="4" s="1"/>
  <c r="E123" i="4"/>
  <c r="F123" i="4"/>
  <c r="G123" i="4"/>
  <c r="H123" i="4"/>
  <c r="B124" i="4" a="1"/>
  <c r="B124" i="4" s="1"/>
  <c r="C124" i="4" a="1"/>
  <c r="C124" i="4" s="1"/>
  <c r="E124" i="4"/>
  <c r="F124" i="4"/>
  <c r="G124" i="4"/>
  <c r="H124" i="4"/>
  <c r="B125" i="4" a="1"/>
  <c r="B125" i="4" s="1"/>
  <c r="C125" i="4" a="1"/>
  <c r="C125" i="4" s="1"/>
  <c r="E125" i="4"/>
  <c r="F125" i="4"/>
  <c r="G125" i="4"/>
  <c r="H125" i="4"/>
  <c r="B126" i="4" a="1"/>
  <c r="B126" i="4" s="1"/>
  <c r="C126" i="4" a="1"/>
  <c r="C126" i="4" s="1"/>
  <c r="E126" i="4"/>
  <c r="F126" i="4"/>
  <c r="G126" i="4"/>
  <c r="H126" i="4"/>
  <c r="B127" i="4" a="1"/>
  <c r="B127" i="4" s="1"/>
  <c r="C127" i="4" a="1"/>
  <c r="C127" i="4" s="1"/>
  <c r="E127" i="4"/>
  <c r="F127" i="4"/>
  <c r="G127" i="4"/>
  <c r="H127" i="4"/>
  <c r="B128" i="4" a="1"/>
  <c r="B128" i="4" s="1"/>
  <c r="C128" i="4" a="1"/>
  <c r="C128" i="4" s="1"/>
  <c r="E128" i="4"/>
  <c r="F128" i="4"/>
  <c r="G128" i="4"/>
  <c r="H128" i="4"/>
  <c r="B129" i="4" a="1"/>
  <c r="B129" i="4" s="1"/>
  <c r="C129" i="4" a="1"/>
  <c r="C129" i="4" s="1"/>
  <c r="E129" i="4"/>
  <c r="F129" i="4"/>
  <c r="G129" i="4"/>
  <c r="H129" i="4"/>
  <c r="B130" i="4" a="1"/>
  <c r="B130" i="4" s="1"/>
  <c r="C130" i="4" a="1"/>
  <c r="C130" i="4" s="1"/>
  <c r="E130" i="4"/>
  <c r="F130" i="4"/>
  <c r="G130" i="4"/>
  <c r="H130" i="4"/>
  <c r="B131" i="4" a="1"/>
  <c r="B131" i="4" s="1"/>
  <c r="C131" i="4" a="1"/>
  <c r="C131" i="4" s="1"/>
  <c r="E131" i="4"/>
  <c r="F131" i="4"/>
  <c r="G131" i="4"/>
  <c r="H131" i="4"/>
  <c r="B132" i="4" a="1"/>
  <c r="B132" i="4" s="1"/>
  <c r="C132" i="4" a="1"/>
  <c r="C132" i="4" s="1"/>
  <c r="E132" i="4"/>
  <c r="F132" i="4"/>
  <c r="G132" i="4"/>
  <c r="H132" i="4"/>
  <c r="B133" i="4" a="1"/>
  <c r="B133" i="4" s="1"/>
  <c r="C133" i="4" a="1"/>
  <c r="C133" i="4" s="1"/>
  <c r="E133" i="4"/>
  <c r="F133" i="4"/>
  <c r="G133" i="4"/>
  <c r="H133" i="4"/>
  <c r="B134" i="4" a="1"/>
  <c r="B134" i="4" s="1"/>
  <c r="C134" i="4" a="1"/>
  <c r="C134" i="4" s="1"/>
  <c r="E134" i="4"/>
  <c r="F134" i="4"/>
  <c r="G134" i="4"/>
  <c r="H134" i="4"/>
  <c r="B135" i="4" a="1"/>
  <c r="B135" i="4" s="1"/>
  <c r="C135" i="4" a="1"/>
  <c r="C135" i="4" s="1"/>
  <c r="D135" i="4" a="1"/>
  <c r="D135" i="4" s="1"/>
  <c r="E135" i="4"/>
  <c r="F135" i="4"/>
  <c r="G135" i="4"/>
  <c r="H135" i="4"/>
  <c r="B136" i="4" a="1"/>
  <c r="B136" i="4" s="1"/>
  <c r="C136" i="4" a="1"/>
  <c r="C136" i="4" s="1"/>
  <c r="E136" i="4"/>
  <c r="F136" i="4"/>
  <c r="G136" i="4"/>
  <c r="H136" i="4"/>
  <c r="B137" i="4" a="1"/>
  <c r="B137" i="4" s="1"/>
  <c r="C137" i="4" a="1"/>
  <c r="C137" i="4" s="1"/>
  <c r="E137" i="4"/>
  <c r="F137" i="4"/>
  <c r="G137" i="4"/>
  <c r="H137" i="4"/>
  <c r="D41" i="4" a="1"/>
  <c r="D41" i="4" s="1"/>
  <c r="D47" i="4" a="1"/>
  <c r="D47" i="4" s="1"/>
  <c r="H101" i="4"/>
  <c r="G101" i="4"/>
  <c r="F101" i="4"/>
  <c r="E101" i="4"/>
  <c r="C101" i="4" a="1"/>
  <c r="C101" i="4" s="1"/>
  <c r="B101" i="4" a="1"/>
  <c r="B101" i="4" s="1"/>
  <c r="H100" i="4"/>
  <c r="G100" i="4"/>
  <c r="F100" i="4"/>
  <c r="E100" i="4"/>
  <c r="C100" i="4" a="1"/>
  <c r="C100" i="4" s="1"/>
  <c r="B100" i="4" a="1"/>
  <c r="B100" i="4" s="1"/>
  <c r="H99" i="4"/>
  <c r="G99" i="4"/>
  <c r="F99" i="4"/>
  <c r="E99" i="4"/>
  <c r="C99" i="4" a="1"/>
  <c r="C99" i="4" s="1"/>
  <c r="B99" i="4" a="1"/>
  <c r="B99" i="4" s="1"/>
  <c r="H98" i="4"/>
  <c r="G98" i="4"/>
  <c r="F98" i="4"/>
  <c r="E98" i="4"/>
  <c r="C98" i="4" a="1"/>
  <c r="C98" i="4" s="1"/>
  <c r="B98" i="4" a="1"/>
  <c r="B98" i="4" s="1"/>
  <c r="H97" i="4"/>
  <c r="G97" i="4"/>
  <c r="F97" i="4"/>
  <c r="E97" i="4"/>
  <c r="C97" i="4" a="1"/>
  <c r="C97" i="4" s="1"/>
  <c r="B97" i="4" a="1"/>
  <c r="B97" i="4" s="1"/>
  <c r="H96" i="4"/>
  <c r="G96" i="4"/>
  <c r="F96" i="4"/>
  <c r="E96" i="4"/>
  <c r="C96" i="4" a="1"/>
  <c r="C96" i="4" s="1"/>
  <c r="B96" i="4" a="1"/>
  <c r="B96" i="4" s="1"/>
  <c r="H95" i="4"/>
  <c r="G95" i="4"/>
  <c r="F95" i="4"/>
  <c r="E95" i="4"/>
  <c r="C95" i="4" a="1"/>
  <c r="C95" i="4" s="1"/>
  <c r="B95" i="4" a="1"/>
  <c r="B95" i="4" s="1"/>
  <c r="H94" i="4"/>
  <c r="G94" i="4"/>
  <c r="F94" i="4"/>
  <c r="E94" i="4"/>
  <c r="C94" i="4" a="1"/>
  <c r="C94" i="4" s="1"/>
  <c r="B94" i="4" a="1"/>
  <c r="B94" i="4" s="1"/>
  <c r="H93" i="4"/>
  <c r="G93" i="4"/>
  <c r="F93" i="4"/>
  <c r="E93" i="4"/>
  <c r="C93" i="4" a="1"/>
  <c r="C93" i="4" s="1"/>
  <c r="B93" i="4" a="1"/>
  <c r="B93" i="4" s="1"/>
  <c r="H92" i="4"/>
  <c r="G92" i="4"/>
  <c r="F92" i="4"/>
  <c r="E92" i="4"/>
  <c r="C92" i="4" a="1"/>
  <c r="C92" i="4" s="1"/>
  <c r="B92" i="4" a="1"/>
  <c r="B92" i="4" s="1"/>
  <c r="H91" i="4"/>
  <c r="G91" i="4"/>
  <c r="F91" i="4"/>
  <c r="E91" i="4"/>
  <c r="C91" i="4" a="1"/>
  <c r="C91" i="4" s="1"/>
  <c r="B91" i="4" a="1"/>
  <c r="B91" i="4" s="1"/>
  <c r="H90" i="4"/>
  <c r="G90" i="4"/>
  <c r="F90" i="4"/>
  <c r="E90" i="4"/>
  <c r="C90" i="4" a="1"/>
  <c r="C90" i="4" s="1"/>
  <c r="B90" i="4" a="1"/>
  <c r="B90" i="4" s="1"/>
  <c r="H89" i="4"/>
  <c r="G89" i="4"/>
  <c r="F89" i="4"/>
  <c r="E89" i="4"/>
  <c r="C89" i="4" a="1"/>
  <c r="C89" i="4" s="1"/>
  <c r="B89" i="4" a="1"/>
  <c r="B89" i="4" s="1"/>
  <c r="H88" i="4"/>
  <c r="G88" i="4"/>
  <c r="F88" i="4"/>
  <c r="E88" i="4"/>
  <c r="C88" i="4" a="1"/>
  <c r="C88" i="4" s="1"/>
  <c r="B88" i="4" a="1"/>
  <c r="B88" i="4" s="1"/>
  <c r="H87" i="4"/>
  <c r="G87" i="4"/>
  <c r="F87" i="4"/>
  <c r="E87" i="4"/>
  <c r="C87" i="4" a="1"/>
  <c r="C87" i="4" s="1"/>
  <c r="B87" i="4" a="1"/>
  <c r="B87" i="4" s="1"/>
  <c r="H86" i="4"/>
  <c r="G86" i="4"/>
  <c r="F86" i="4"/>
  <c r="E86" i="4"/>
  <c r="C86" i="4" a="1"/>
  <c r="C86" i="4" s="1"/>
  <c r="B86" i="4" a="1"/>
  <c r="B86" i="4" s="1"/>
  <c r="H85" i="4"/>
  <c r="G85" i="4"/>
  <c r="F85" i="4"/>
  <c r="E85" i="4"/>
  <c r="C85" i="4" a="1"/>
  <c r="C85" i="4" s="1"/>
  <c r="B85" i="4" a="1"/>
  <c r="B85" i="4" s="1"/>
  <c r="H84" i="4"/>
  <c r="G84" i="4"/>
  <c r="F84" i="4"/>
  <c r="E84" i="4"/>
  <c r="C84" i="4" a="1"/>
  <c r="C84" i="4" s="1"/>
  <c r="B84" i="4" a="1"/>
  <c r="B84" i="4" s="1"/>
  <c r="H83" i="4"/>
  <c r="G83" i="4"/>
  <c r="F83" i="4"/>
  <c r="E83" i="4"/>
  <c r="C83" i="4" a="1"/>
  <c r="C83" i="4" s="1"/>
  <c r="B83" i="4" a="1"/>
  <c r="B83" i="4" s="1"/>
  <c r="H82" i="4"/>
  <c r="G82" i="4"/>
  <c r="F82" i="4"/>
  <c r="E82" i="4"/>
  <c r="C82" i="4" a="1"/>
  <c r="C82" i="4" s="1"/>
  <c r="B82" i="4" a="1"/>
  <c r="B82" i="4" s="1"/>
  <c r="H81" i="4"/>
  <c r="G81" i="4"/>
  <c r="F81" i="4"/>
  <c r="E81" i="4"/>
  <c r="C81" i="4" a="1"/>
  <c r="C81" i="4" s="1"/>
  <c r="B81" i="4" a="1"/>
  <c r="B81" i="4" s="1"/>
  <c r="H80" i="4"/>
  <c r="G80" i="4"/>
  <c r="F80" i="4"/>
  <c r="E80" i="4"/>
  <c r="C80" i="4" a="1"/>
  <c r="C80" i="4" s="1"/>
  <c r="B80" i="4" a="1"/>
  <c r="B80" i="4" s="1"/>
  <c r="H79" i="4"/>
  <c r="G79" i="4"/>
  <c r="F79" i="4"/>
  <c r="E79" i="4"/>
  <c r="C79" i="4" a="1"/>
  <c r="C79" i="4" s="1"/>
  <c r="B79" i="4" a="1"/>
  <c r="B79" i="4" s="1"/>
  <c r="H78" i="4"/>
  <c r="G78" i="4"/>
  <c r="F78" i="4"/>
  <c r="E78" i="4"/>
  <c r="C78" i="4" a="1"/>
  <c r="C78" i="4" s="1"/>
  <c r="B78" i="4" a="1"/>
  <c r="B78" i="4" s="1"/>
  <c r="H77" i="4"/>
  <c r="G77" i="4"/>
  <c r="F77" i="4"/>
  <c r="E77" i="4"/>
  <c r="C77" i="4" a="1"/>
  <c r="C77" i="4" s="1"/>
  <c r="B77" i="4" a="1"/>
  <c r="B77" i="4" s="1"/>
  <c r="H76" i="4"/>
  <c r="G76" i="4"/>
  <c r="F76" i="4"/>
  <c r="E76" i="4"/>
  <c r="C76" i="4" a="1"/>
  <c r="C76" i="4" s="1"/>
  <c r="B76" i="4" a="1"/>
  <c r="B76" i="4" s="1"/>
  <c r="H75" i="4"/>
  <c r="G75" i="4"/>
  <c r="F75" i="4"/>
  <c r="E75" i="4"/>
  <c r="C75" i="4" a="1"/>
  <c r="C75" i="4" s="1"/>
  <c r="B75" i="4" a="1"/>
  <c r="B75" i="4" s="1"/>
  <c r="H74" i="4"/>
  <c r="G74" i="4"/>
  <c r="F74" i="4"/>
  <c r="E74" i="4"/>
  <c r="C74" i="4" a="1"/>
  <c r="C74" i="4" s="1"/>
  <c r="B74" i="4" a="1"/>
  <c r="B74" i="4" s="1"/>
  <c r="H73" i="4"/>
  <c r="G73" i="4"/>
  <c r="F73" i="4"/>
  <c r="E73" i="4"/>
  <c r="C73" i="4" a="1"/>
  <c r="C73" i="4" s="1"/>
  <c r="B73" i="4" a="1"/>
  <c r="B73" i="4" s="1"/>
  <c r="H72" i="4"/>
  <c r="G72" i="4"/>
  <c r="F72" i="4"/>
  <c r="E72" i="4"/>
  <c r="C72" i="4" a="1"/>
  <c r="C72" i="4" s="1"/>
  <c r="B72" i="4" a="1"/>
  <c r="B72" i="4" s="1"/>
  <c r="H71" i="4"/>
  <c r="G71" i="4"/>
  <c r="F71" i="4"/>
  <c r="E71" i="4"/>
  <c r="C71" i="4" a="1"/>
  <c r="C71" i="4" s="1"/>
  <c r="B71" i="4" a="1"/>
  <c r="B71" i="4" s="1"/>
  <c r="H70" i="4"/>
  <c r="G70" i="4"/>
  <c r="F70" i="4"/>
  <c r="E70" i="4"/>
  <c r="C70" i="4" a="1"/>
  <c r="C70" i="4" s="1"/>
  <c r="B70" i="4" a="1"/>
  <c r="B70" i="4" s="1"/>
  <c r="H69" i="4"/>
  <c r="G69" i="4"/>
  <c r="F69" i="4"/>
  <c r="E69" i="4"/>
  <c r="C69" i="4" a="1"/>
  <c r="C69" i="4" s="1"/>
  <c r="B69" i="4" a="1"/>
  <c r="B69" i="4" s="1"/>
  <c r="H68" i="4"/>
  <c r="G68" i="4"/>
  <c r="F68" i="4"/>
  <c r="E68" i="4"/>
  <c r="C68" i="4" a="1"/>
  <c r="C68" i="4" s="1"/>
  <c r="B68" i="4" a="1"/>
  <c r="B68" i="4" s="1"/>
  <c r="H67" i="4"/>
  <c r="G67" i="4"/>
  <c r="F67" i="4"/>
  <c r="E67" i="4"/>
  <c r="C67" i="4" a="1"/>
  <c r="C67" i="4" s="1"/>
  <c r="B67" i="4" a="1"/>
  <c r="B67" i="4" s="1"/>
  <c r="H66" i="4"/>
  <c r="G66" i="4"/>
  <c r="F66" i="4"/>
  <c r="E66" i="4"/>
  <c r="C66" i="4" a="1"/>
  <c r="C66" i="4" s="1"/>
  <c r="B66" i="4" a="1"/>
  <c r="B66" i="4" s="1"/>
  <c r="H65" i="4"/>
  <c r="G65" i="4"/>
  <c r="F65" i="4"/>
  <c r="E65" i="4"/>
  <c r="C65" i="4" a="1"/>
  <c r="C65" i="4" s="1"/>
  <c r="B65" i="4" a="1"/>
  <c r="B65" i="4" s="1"/>
  <c r="H64" i="4"/>
  <c r="G64" i="4"/>
  <c r="F64" i="4"/>
  <c r="E64" i="4"/>
  <c r="C64" i="4" a="1"/>
  <c r="C64" i="4" s="1"/>
  <c r="B64" i="4" a="1"/>
  <c r="B64" i="4" s="1"/>
  <c r="H63" i="4"/>
  <c r="G63" i="4"/>
  <c r="F63" i="4"/>
  <c r="E63" i="4"/>
  <c r="C63" i="4" a="1"/>
  <c r="C63" i="4" s="1"/>
  <c r="B63" i="4" a="1"/>
  <c r="B63" i="4" s="1"/>
  <c r="H62" i="4"/>
  <c r="G62" i="4"/>
  <c r="F62" i="4"/>
  <c r="E62" i="4"/>
  <c r="C62" i="4" a="1"/>
  <c r="C62" i="4" s="1"/>
  <c r="B62" i="4" a="1"/>
  <c r="B62" i="4" s="1"/>
  <c r="H61" i="4"/>
  <c r="G61" i="4"/>
  <c r="F61" i="4"/>
  <c r="E61" i="4"/>
  <c r="C61" i="4" a="1"/>
  <c r="C61" i="4" s="1"/>
  <c r="B61" i="4" a="1"/>
  <c r="B61" i="4" s="1"/>
  <c r="H60" i="4"/>
  <c r="G60" i="4"/>
  <c r="F60" i="4"/>
  <c r="E60" i="4"/>
  <c r="C60" i="4" a="1"/>
  <c r="C60" i="4" s="1"/>
  <c r="B60" i="4" a="1"/>
  <c r="B60" i="4" s="1"/>
  <c r="H59" i="4"/>
  <c r="G59" i="4"/>
  <c r="F59" i="4"/>
  <c r="E59" i="4"/>
  <c r="C59" i="4" a="1"/>
  <c r="C59" i="4" s="1"/>
  <c r="B59" i="4" a="1"/>
  <c r="B59" i="4" s="1"/>
  <c r="H58" i="4"/>
  <c r="G58" i="4"/>
  <c r="F58" i="4"/>
  <c r="E58" i="4"/>
  <c r="C58" i="4" a="1"/>
  <c r="C58" i="4" s="1"/>
  <c r="B58" i="4" a="1"/>
  <c r="B58" i="4" s="1"/>
  <c r="H57" i="4"/>
  <c r="G57" i="4"/>
  <c r="F57" i="4"/>
  <c r="E57" i="4"/>
  <c r="C57" i="4" a="1"/>
  <c r="C57" i="4" s="1"/>
  <c r="B57" i="4" a="1"/>
  <c r="B57" i="4" s="1"/>
  <c r="H56" i="4"/>
  <c r="G56" i="4"/>
  <c r="F56" i="4"/>
  <c r="E56" i="4"/>
  <c r="C56" i="4" a="1"/>
  <c r="C56" i="4" s="1"/>
  <c r="B56" i="4" a="1"/>
  <c r="B56" i="4" s="1"/>
  <c r="H55" i="4"/>
  <c r="G55" i="4"/>
  <c r="F55" i="4"/>
  <c r="E55" i="4"/>
  <c r="C55" i="4" a="1"/>
  <c r="C55" i="4" s="1"/>
  <c r="B55" i="4" a="1"/>
  <c r="B55" i="4" s="1"/>
  <c r="H54" i="4"/>
  <c r="G54" i="4"/>
  <c r="F54" i="4"/>
  <c r="E54" i="4"/>
  <c r="C54" i="4" a="1"/>
  <c r="C54" i="4" s="1"/>
  <c r="B54" i="4" a="1"/>
  <c r="B54" i="4" s="1"/>
  <c r="H53" i="4"/>
  <c r="G53" i="4"/>
  <c r="F53" i="4"/>
  <c r="E53" i="4"/>
  <c r="C53" i="4" a="1"/>
  <c r="C53" i="4" s="1"/>
  <c r="B53" i="4" a="1"/>
  <c r="B53" i="4" s="1"/>
  <c r="H52" i="4"/>
  <c r="G52" i="4"/>
  <c r="F52" i="4"/>
  <c r="E52" i="4"/>
  <c r="C52" i="4" a="1"/>
  <c r="C52" i="4" s="1"/>
  <c r="B52" i="4" a="1"/>
  <c r="B52" i="4" s="1"/>
  <c r="H51" i="4"/>
  <c r="G51" i="4"/>
  <c r="F51" i="4"/>
  <c r="E51" i="4"/>
  <c r="C51" i="4" a="1"/>
  <c r="C51" i="4" s="1"/>
  <c r="B51" i="4" a="1"/>
  <c r="B51" i="4" s="1"/>
  <c r="H50" i="4"/>
  <c r="G50" i="4"/>
  <c r="F50" i="4"/>
  <c r="E50" i="4"/>
  <c r="C50" i="4" a="1"/>
  <c r="C50" i="4" s="1"/>
  <c r="B50" i="4" a="1"/>
  <c r="B50" i="4" s="1"/>
  <c r="H49" i="4"/>
  <c r="G49" i="4"/>
  <c r="F49" i="4"/>
  <c r="E49" i="4"/>
  <c r="C49" i="4" a="1"/>
  <c r="C49" i="4" s="1"/>
  <c r="B49" i="4" a="1"/>
  <c r="B49" i="4" s="1"/>
  <c r="H48" i="4"/>
  <c r="G48" i="4"/>
  <c r="F48" i="4"/>
  <c r="E48" i="4"/>
  <c r="C48" i="4" a="1"/>
  <c r="C48" i="4" s="1"/>
  <c r="B48" i="4" a="1"/>
  <c r="B48" i="4" s="1"/>
  <c r="H47" i="4"/>
  <c r="G47" i="4"/>
  <c r="F47" i="4"/>
  <c r="E47" i="4"/>
  <c r="C47" i="4" a="1"/>
  <c r="C47" i="4" s="1"/>
  <c r="B47" i="4" a="1"/>
  <c r="B47" i="4" s="1"/>
  <c r="H46" i="4"/>
  <c r="G46" i="4"/>
  <c r="F46" i="4"/>
  <c r="E46" i="4"/>
  <c r="C46" i="4" a="1"/>
  <c r="C46" i="4" s="1"/>
  <c r="B46" i="4" a="1"/>
  <c r="B46" i="4" s="1"/>
  <c r="H45" i="4"/>
  <c r="G45" i="4"/>
  <c r="F45" i="4"/>
  <c r="E45" i="4"/>
  <c r="C45" i="4" a="1"/>
  <c r="C45" i="4" s="1"/>
  <c r="B45" i="4" a="1"/>
  <c r="B45" i="4" s="1"/>
  <c r="H44" i="4"/>
  <c r="G44" i="4"/>
  <c r="F44" i="4"/>
  <c r="E44" i="4"/>
  <c r="C44" i="4" a="1"/>
  <c r="C44" i="4" s="1"/>
  <c r="B44" i="4" a="1"/>
  <c r="B44" i="4" s="1"/>
  <c r="H43" i="4"/>
  <c r="G43" i="4"/>
  <c r="F43" i="4"/>
  <c r="E43" i="4"/>
  <c r="C43" i="4" a="1"/>
  <c r="C43" i="4" s="1"/>
  <c r="B43" i="4" a="1"/>
  <c r="B43" i="4" s="1"/>
  <c r="H42" i="4"/>
  <c r="G42" i="4"/>
  <c r="F42" i="4"/>
  <c r="E42" i="4"/>
  <c r="C42" i="4" a="1"/>
  <c r="C42" i="4" s="1"/>
  <c r="B42" i="4" a="1"/>
  <c r="B42" i="4" s="1"/>
  <c r="H41" i="4"/>
  <c r="G41" i="4"/>
  <c r="F41" i="4"/>
  <c r="E41" i="4"/>
  <c r="C41" i="4" a="1"/>
  <c r="C41" i="4" s="1"/>
  <c r="B41" i="4" a="1"/>
  <c r="B41" i="4" s="1"/>
  <c r="H40" i="4"/>
  <c r="G40" i="4"/>
  <c r="F40" i="4"/>
  <c r="E40" i="4"/>
  <c r="C40" i="4" a="1"/>
  <c r="C40" i="4" s="1"/>
  <c r="B40" i="4" a="1"/>
  <c r="B40" i="4" s="1"/>
  <c r="H39" i="4"/>
  <c r="G39" i="4"/>
  <c r="F39" i="4"/>
  <c r="E39" i="4"/>
  <c r="C39" i="4" a="1"/>
  <c r="C39" i="4" s="1"/>
  <c r="B39" i="4" a="1"/>
  <c r="B39" i="4" s="1"/>
  <c r="H38" i="4"/>
  <c r="G38" i="4"/>
  <c r="F38" i="4"/>
  <c r="E38" i="4"/>
  <c r="C38" i="4" a="1"/>
  <c r="C38" i="4" s="1"/>
  <c r="B38" i="4" a="1"/>
  <c r="B38" i="4" s="1"/>
  <c r="H37" i="4"/>
  <c r="G37" i="4"/>
  <c r="F37" i="4"/>
  <c r="E37" i="4"/>
  <c r="C37" i="4" a="1"/>
  <c r="C37" i="4" s="1"/>
  <c r="B37" i="4" a="1"/>
  <c r="B37" i="4" s="1"/>
  <c r="H36" i="4"/>
  <c r="G36" i="4"/>
  <c r="F36" i="4"/>
  <c r="E36" i="4"/>
  <c r="C36" i="4" a="1"/>
  <c r="C36" i="4" s="1"/>
  <c r="B36" i="4" a="1"/>
  <c r="B36" i="4" s="1"/>
  <c r="H35" i="4"/>
  <c r="G35" i="4"/>
  <c r="F35" i="4"/>
  <c r="E35" i="4"/>
  <c r="C35" i="4" a="1"/>
  <c r="C35" i="4" s="1"/>
  <c r="B35" i="4" a="1"/>
  <c r="B35" i="4" s="1"/>
  <c r="H34" i="4"/>
  <c r="G34" i="4"/>
  <c r="F34" i="4"/>
  <c r="E34" i="4"/>
  <c r="C34" i="4" a="1"/>
  <c r="C34" i="4" s="1"/>
  <c r="B34" i="4" a="1"/>
  <c r="B34" i="4" s="1"/>
  <c r="H33" i="4"/>
  <c r="G33" i="4"/>
  <c r="F33" i="4"/>
  <c r="E33" i="4"/>
  <c r="C33" i="4" a="1"/>
  <c r="C33" i="4" s="1"/>
  <c r="B33" i="4" a="1"/>
  <c r="B33" i="4" s="1"/>
  <c r="H32" i="4"/>
  <c r="G32" i="4"/>
  <c r="F32" i="4"/>
  <c r="E32" i="4"/>
  <c r="C32" i="4" a="1"/>
  <c r="C32" i="4" s="1"/>
  <c r="B32" i="4" a="1"/>
  <c r="B32" i="4" s="1"/>
  <c r="H31" i="4"/>
  <c r="G31" i="4"/>
  <c r="F31" i="4"/>
  <c r="E31" i="4"/>
  <c r="C31" i="4" a="1"/>
  <c r="C31" i="4" s="1"/>
  <c r="B31" i="4" a="1"/>
  <c r="B31" i="4" s="1"/>
  <c r="H30" i="4"/>
  <c r="G30" i="4"/>
  <c r="F30" i="4"/>
  <c r="E30" i="4"/>
  <c r="C30" i="4" a="1"/>
  <c r="C30" i="4" s="1"/>
  <c r="B30" i="4" a="1"/>
  <c r="B30" i="4" s="1"/>
  <c r="H29" i="4"/>
  <c r="G29" i="4"/>
  <c r="F29" i="4"/>
  <c r="E29" i="4"/>
  <c r="C29" i="4" a="1"/>
  <c r="C29" i="4" s="1"/>
  <c r="B29" i="4" a="1"/>
  <c r="B29" i="4" s="1"/>
  <c r="H28" i="4"/>
  <c r="G28" i="4"/>
  <c r="F28" i="4"/>
  <c r="E28" i="4"/>
  <c r="C28" i="4" a="1"/>
  <c r="C28" i="4" s="1"/>
  <c r="B28" i="4" a="1"/>
  <c r="B28" i="4" s="1"/>
  <c r="H27" i="4"/>
  <c r="G27" i="4"/>
  <c r="F27" i="4"/>
  <c r="E27" i="4"/>
  <c r="C27" i="4" a="1"/>
  <c r="C27" i="4" s="1"/>
  <c r="B27" i="4" a="1"/>
  <c r="B27" i="4" s="1"/>
  <c r="H26" i="4"/>
  <c r="G26" i="4"/>
  <c r="F26" i="4"/>
  <c r="E26" i="4"/>
  <c r="C26" i="4" a="1"/>
  <c r="C26" i="4" s="1"/>
  <c r="B26" i="4" a="1"/>
  <c r="B26" i="4" s="1"/>
  <c r="H25" i="4"/>
  <c r="G25" i="4"/>
  <c r="F25" i="4"/>
  <c r="E25" i="4"/>
  <c r="C25" i="4" a="1"/>
  <c r="C25" i="4" s="1"/>
  <c r="B25" i="4" a="1"/>
  <c r="B25" i="4" s="1"/>
  <c r="D72" i="4" a="1"/>
  <c r="D72" i="4" s="1"/>
  <c r="H24" i="4"/>
  <c r="G24" i="4"/>
  <c r="F24" i="4"/>
  <c r="E24" i="4"/>
  <c r="C24" i="4" a="1"/>
  <c r="C24" i="4" s="1"/>
  <c r="B24" i="4" a="1"/>
  <c r="B24" i="4" s="1"/>
  <c r="H23" i="4"/>
  <c r="G23" i="4"/>
  <c r="F23" i="4"/>
  <c r="E23" i="4"/>
  <c r="C23" i="4" a="1"/>
  <c r="C23" i="4" s="1"/>
  <c r="B23" i="4" a="1"/>
  <c r="B23" i="4" s="1"/>
  <c r="H22" i="4"/>
  <c r="G22" i="4"/>
  <c r="F22" i="4"/>
  <c r="E22" i="4"/>
  <c r="C22" i="4" a="1"/>
  <c r="C22" i="4" s="1"/>
  <c r="B22" i="4" a="1"/>
  <c r="B22" i="4" s="1"/>
  <c r="H21" i="4"/>
  <c r="G21" i="4"/>
  <c r="F21" i="4"/>
  <c r="E21" i="4"/>
  <c r="C21" i="4" a="1"/>
  <c r="C21" i="4" s="1"/>
  <c r="B21" i="4" a="1"/>
  <c r="B21" i="4" s="1"/>
  <c r="H20" i="4"/>
  <c r="G20" i="4"/>
  <c r="F20" i="4"/>
  <c r="E20" i="4"/>
  <c r="C20" i="4" a="1"/>
  <c r="C20" i="4" s="1"/>
  <c r="B20" i="4" a="1"/>
  <c r="B20" i="4" s="1"/>
  <c r="H19" i="4"/>
  <c r="G19" i="4"/>
  <c r="F19" i="4"/>
  <c r="E19" i="4"/>
  <c r="C19" i="4" a="1"/>
  <c r="C19" i="4" s="1"/>
  <c r="B19" i="4" a="1"/>
  <c r="B19" i="4" s="1"/>
  <c r="H18" i="4"/>
  <c r="G18" i="4"/>
  <c r="F18" i="4"/>
  <c r="E18" i="4"/>
  <c r="C18" i="4" a="1"/>
  <c r="C18" i="4" s="1"/>
  <c r="B18" i="4" a="1"/>
  <c r="B18" i="4" s="1"/>
  <c r="H17" i="4"/>
  <c r="G17" i="4"/>
  <c r="F17" i="4"/>
  <c r="E17" i="4"/>
  <c r="C17" i="4" a="1"/>
  <c r="C17" i="4" s="1"/>
  <c r="B17" i="4" a="1"/>
  <c r="B17" i="4" s="1"/>
  <c r="H16" i="4"/>
  <c r="G16" i="4"/>
  <c r="F16" i="4"/>
  <c r="E16" i="4"/>
  <c r="C16" i="4" a="1"/>
  <c r="C16" i="4" s="1"/>
  <c r="B16" i="4" a="1"/>
  <c r="B16" i="4" s="1"/>
  <c r="H15" i="4"/>
  <c r="G15" i="4"/>
  <c r="F15" i="4"/>
  <c r="E15" i="4"/>
  <c r="C15" i="4" a="1"/>
  <c r="C15" i="4" s="1"/>
  <c r="B15" i="4" a="1"/>
  <c r="B15" i="4" s="1"/>
  <c r="D56" i="4" a="1"/>
  <c r="D56" i="4" s="1"/>
  <c r="H14" i="4"/>
  <c r="G14" i="4"/>
  <c r="F14" i="4"/>
  <c r="E14" i="4"/>
  <c r="C14" i="4" a="1"/>
  <c r="C14" i="4" s="1"/>
  <c r="B14" i="4" a="1"/>
  <c r="B14" i="4" s="1"/>
  <c r="H13" i="4"/>
  <c r="G13" i="4"/>
  <c r="F13" i="4"/>
  <c r="E13" i="4"/>
  <c r="C13" i="4" a="1"/>
  <c r="C13" i="4" s="1"/>
  <c r="B13" i="4" a="1"/>
  <c r="B13" i="4" s="1"/>
  <c r="H12" i="4"/>
  <c r="G12" i="4"/>
  <c r="F12" i="4"/>
  <c r="E12" i="4"/>
  <c r="C12" i="4" a="1"/>
  <c r="C12" i="4" s="1"/>
  <c r="B12" i="4" a="1"/>
  <c r="B12" i="4" s="1"/>
  <c r="H11" i="4"/>
  <c r="G11" i="4"/>
  <c r="F11" i="4"/>
  <c r="E11" i="4"/>
  <c r="C11" i="4" a="1"/>
  <c r="C11" i="4" s="1"/>
  <c r="B11" i="4" a="1"/>
  <c r="B11" i="4" s="1"/>
  <c r="H10" i="4"/>
  <c r="G10" i="4"/>
  <c r="F10" i="4"/>
  <c r="E10" i="4"/>
  <c r="C10" i="4" a="1"/>
  <c r="C10" i="4" s="1"/>
  <c r="B10" i="4" a="1"/>
  <c r="B10" i="4" s="1"/>
  <c r="H9" i="4"/>
  <c r="G9" i="4"/>
  <c r="F9" i="4"/>
  <c r="E9" i="4"/>
  <c r="C9" i="4" a="1"/>
  <c r="C9" i="4" s="1"/>
  <c r="B9" i="4" a="1"/>
  <c r="B9" i="4" s="1"/>
  <c r="H8" i="4"/>
  <c r="G8" i="4"/>
  <c r="F8" i="4"/>
  <c r="E8" i="4"/>
  <c r="C8" i="4" a="1"/>
  <c r="C8" i="4" s="1"/>
  <c r="B8" i="4" a="1"/>
  <c r="B8" i="4" s="1"/>
  <c r="H7" i="4"/>
  <c r="G7" i="4"/>
  <c r="F7" i="4"/>
  <c r="E7" i="4"/>
  <c r="C7" i="4" a="1"/>
  <c r="C7" i="4" s="1"/>
  <c r="B7" i="4" a="1"/>
  <c r="B7" i="4" s="1"/>
  <c r="H6" i="4"/>
  <c r="G6" i="4"/>
  <c r="F6" i="4"/>
  <c r="E6" i="4"/>
  <c r="C6" i="4" a="1"/>
  <c r="C6" i="4" s="1"/>
  <c r="B6" i="4" a="1"/>
  <c r="B6" i="4" s="1"/>
  <c r="H5" i="4"/>
  <c r="G5" i="4"/>
  <c r="F5" i="4"/>
  <c r="E5" i="4"/>
  <c r="C5" i="4" a="1"/>
  <c r="C5" i="4" s="1"/>
  <c r="B5" i="4" a="1"/>
  <c r="B5" i="4" s="1"/>
  <c r="H4" i="4"/>
  <c r="G4" i="4"/>
  <c r="F4" i="4"/>
  <c r="E4" i="4"/>
  <c r="C4" i="4" a="1"/>
  <c r="C4" i="4" s="1"/>
  <c r="B4" i="4" a="1"/>
  <c r="B4" i="4" s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4" i="3"/>
  <c r="E4" i="3"/>
  <c r="G101" i="3"/>
  <c r="F101" i="3"/>
  <c r="E101" i="3"/>
  <c r="C101" i="3" a="1"/>
  <c r="C101" i="3" s="1"/>
  <c r="B101" i="3" a="1"/>
  <c r="B101" i="3" s="1"/>
  <c r="G100" i="3"/>
  <c r="F100" i="3"/>
  <c r="E100" i="3"/>
  <c r="C100" i="3" a="1"/>
  <c r="C100" i="3" s="1"/>
  <c r="B100" i="3" a="1"/>
  <c r="B100" i="3" s="1"/>
  <c r="G99" i="3"/>
  <c r="F99" i="3"/>
  <c r="E99" i="3"/>
  <c r="C99" i="3" a="1"/>
  <c r="C99" i="3" s="1"/>
  <c r="B99" i="3" a="1"/>
  <c r="B99" i="3" s="1"/>
  <c r="G98" i="3"/>
  <c r="F98" i="3"/>
  <c r="E98" i="3"/>
  <c r="C98" i="3" a="1"/>
  <c r="C98" i="3" s="1"/>
  <c r="B98" i="3" a="1"/>
  <c r="B98" i="3" s="1"/>
  <c r="G97" i="3"/>
  <c r="F97" i="3"/>
  <c r="E97" i="3"/>
  <c r="C97" i="3" a="1"/>
  <c r="C97" i="3" s="1"/>
  <c r="B97" i="3" a="1"/>
  <c r="B97" i="3" s="1"/>
  <c r="G96" i="3"/>
  <c r="F96" i="3"/>
  <c r="E96" i="3"/>
  <c r="C96" i="3" a="1"/>
  <c r="C96" i="3" s="1"/>
  <c r="B96" i="3" a="1"/>
  <c r="B96" i="3" s="1"/>
  <c r="G95" i="3"/>
  <c r="F95" i="3"/>
  <c r="E95" i="3"/>
  <c r="C95" i="3" a="1"/>
  <c r="C95" i="3" s="1"/>
  <c r="B95" i="3" a="1"/>
  <c r="B95" i="3" s="1"/>
  <c r="G94" i="3"/>
  <c r="F94" i="3"/>
  <c r="E94" i="3"/>
  <c r="C94" i="3" a="1"/>
  <c r="C94" i="3" s="1"/>
  <c r="B94" i="3" a="1"/>
  <c r="B94" i="3" s="1"/>
  <c r="G93" i="3"/>
  <c r="F93" i="3"/>
  <c r="E93" i="3"/>
  <c r="C93" i="3" a="1"/>
  <c r="C93" i="3" s="1"/>
  <c r="B93" i="3" a="1"/>
  <c r="B93" i="3" s="1"/>
  <c r="G92" i="3"/>
  <c r="F92" i="3"/>
  <c r="E92" i="3"/>
  <c r="C92" i="3" a="1"/>
  <c r="C92" i="3" s="1"/>
  <c r="B92" i="3" a="1"/>
  <c r="B92" i="3" s="1"/>
  <c r="G91" i="3"/>
  <c r="F91" i="3"/>
  <c r="E91" i="3"/>
  <c r="C91" i="3" a="1"/>
  <c r="C91" i="3" s="1"/>
  <c r="B91" i="3" a="1"/>
  <c r="B91" i="3" s="1"/>
  <c r="G90" i="3"/>
  <c r="F90" i="3"/>
  <c r="E90" i="3"/>
  <c r="C90" i="3" a="1"/>
  <c r="C90" i="3" s="1"/>
  <c r="B90" i="3" a="1"/>
  <c r="B90" i="3" s="1"/>
  <c r="G89" i="3"/>
  <c r="F89" i="3"/>
  <c r="E89" i="3"/>
  <c r="C89" i="3" a="1"/>
  <c r="C89" i="3" s="1"/>
  <c r="B89" i="3" a="1"/>
  <c r="B89" i="3" s="1"/>
  <c r="G88" i="3"/>
  <c r="F88" i="3"/>
  <c r="E88" i="3"/>
  <c r="C88" i="3" a="1"/>
  <c r="C88" i="3" s="1"/>
  <c r="B88" i="3" a="1"/>
  <c r="B88" i="3" s="1"/>
  <c r="G87" i="3"/>
  <c r="F87" i="3"/>
  <c r="E87" i="3"/>
  <c r="C87" i="3" a="1"/>
  <c r="C87" i="3" s="1"/>
  <c r="B87" i="3" a="1"/>
  <c r="B87" i="3" s="1"/>
  <c r="G86" i="3"/>
  <c r="F86" i="3"/>
  <c r="E86" i="3"/>
  <c r="C86" i="3" a="1"/>
  <c r="C86" i="3" s="1"/>
  <c r="B86" i="3" a="1"/>
  <c r="B86" i="3" s="1"/>
  <c r="G85" i="3"/>
  <c r="F85" i="3"/>
  <c r="E85" i="3"/>
  <c r="C85" i="3" a="1"/>
  <c r="C85" i="3" s="1"/>
  <c r="B85" i="3" a="1"/>
  <c r="B85" i="3" s="1"/>
  <c r="G84" i="3"/>
  <c r="F84" i="3"/>
  <c r="E84" i="3"/>
  <c r="C84" i="3" a="1"/>
  <c r="C84" i="3" s="1"/>
  <c r="B84" i="3" a="1"/>
  <c r="B84" i="3" s="1"/>
  <c r="G83" i="3"/>
  <c r="F83" i="3"/>
  <c r="E83" i="3"/>
  <c r="C83" i="3" a="1"/>
  <c r="C83" i="3" s="1"/>
  <c r="B83" i="3" a="1"/>
  <c r="B83" i="3" s="1"/>
  <c r="G82" i="3"/>
  <c r="F82" i="3"/>
  <c r="E82" i="3"/>
  <c r="C82" i="3" a="1"/>
  <c r="C82" i="3" s="1"/>
  <c r="B82" i="3" a="1"/>
  <c r="B82" i="3" s="1"/>
  <c r="G81" i="3"/>
  <c r="F81" i="3"/>
  <c r="E81" i="3"/>
  <c r="C81" i="3" a="1"/>
  <c r="C81" i="3" s="1"/>
  <c r="B81" i="3" a="1"/>
  <c r="B81" i="3" s="1"/>
  <c r="G80" i="3"/>
  <c r="F80" i="3"/>
  <c r="E80" i="3"/>
  <c r="C80" i="3" a="1"/>
  <c r="C80" i="3" s="1"/>
  <c r="B80" i="3" a="1"/>
  <c r="B80" i="3" s="1"/>
  <c r="G79" i="3"/>
  <c r="F79" i="3"/>
  <c r="E79" i="3"/>
  <c r="C79" i="3" a="1"/>
  <c r="C79" i="3" s="1"/>
  <c r="B79" i="3" a="1"/>
  <c r="B79" i="3" s="1"/>
  <c r="G78" i="3"/>
  <c r="F78" i="3"/>
  <c r="E78" i="3"/>
  <c r="C78" i="3" a="1"/>
  <c r="C78" i="3" s="1"/>
  <c r="B78" i="3" a="1"/>
  <c r="B78" i="3" s="1"/>
  <c r="G77" i="3"/>
  <c r="F77" i="3"/>
  <c r="E77" i="3"/>
  <c r="C77" i="3" a="1"/>
  <c r="C77" i="3" s="1"/>
  <c r="B77" i="3" a="1"/>
  <c r="B77" i="3" s="1"/>
  <c r="G76" i="3"/>
  <c r="F76" i="3"/>
  <c r="E76" i="3"/>
  <c r="C76" i="3" a="1"/>
  <c r="C76" i="3" s="1"/>
  <c r="B76" i="3" a="1"/>
  <c r="B76" i="3" s="1"/>
  <c r="G75" i="3"/>
  <c r="F75" i="3"/>
  <c r="E75" i="3"/>
  <c r="C75" i="3" a="1"/>
  <c r="C75" i="3" s="1"/>
  <c r="B75" i="3" a="1"/>
  <c r="B75" i="3" s="1"/>
  <c r="G74" i="3"/>
  <c r="F74" i="3"/>
  <c r="E74" i="3"/>
  <c r="C74" i="3" a="1"/>
  <c r="C74" i="3" s="1"/>
  <c r="B74" i="3" a="1"/>
  <c r="B74" i="3" s="1"/>
  <c r="G73" i="3"/>
  <c r="F73" i="3"/>
  <c r="E73" i="3"/>
  <c r="C73" i="3" a="1"/>
  <c r="C73" i="3" s="1"/>
  <c r="B73" i="3" a="1"/>
  <c r="B73" i="3" s="1"/>
  <c r="G72" i="3"/>
  <c r="F72" i="3"/>
  <c r="E72" i="3"/>
  <c r="C72" i="3" a="1"/>
  <c r="C72" i="3" s="1"/>
  <c r="B72" i="3" a="1"/>
  <c r="B72" i="3" s="1"/>
  <c r="G71" i="3"/>
  <c r="F71" i="3"/>
  <c r="E71" i="3"/>
  <c r="C71" i="3" a="1"/>
  <c r="C71" i="3" s="1"/>
  <c r="B71" i="3" a="1"/>
  <c r="B71" i="3" s="1"/>
  <c r="G70" i="3"/>
  <c r="F70" i="3"/>
  <c r="E70" i="3"/>
  <c r="C70" i="3" a="1"/>
  <c r="C70" i="3" s="1"/>
  <c r="B70" i="3" a="1"/>
  <c r="B70" i="3" s="1"/>
  <c r="G69" i="3"/>
  <c r="F69" i="3"/>
  <c r="E69" i="3"/>
  <c r="C69" i="3" a="1"/>
  <c r="C69" i="3" s="1"/>
  <c r="B69" i="3" a="1"/>
  <c r="B69" i="3" s="1"/>
  <c r="G68" i="3"/>
  <c r="F68" i="3"/>
  <c r="E68" i="3"/>
  <c r="C68" i="3" a="1"/>
  <c r="C68" i="3" s="1"/>
  <c r="B68" i="3" a="1"/>
  <c r="B68" i="3" s="1"/>
  <c r="G67" i="3"/>
  <c r="F67" i="3"/>
  <c r="E67" i="3"/>
  <c r="C67" i="3" a="1"/>
  <c r="C67" i="3" s="1"/>
  <c r="B67" i="3" a="1"/>
  <c r="B67" i="3" s="1"/>
  <c r="G66" i="3"/>
  <c r="F66" i="3"/>
  <c r="E66" i="3"/>
  <c r="C66" i="3" a="1"/>
  <c r="C66" i="3" s="1"/>
  <c r="B66" i="3" a="1"/>
  <c r="B66" i="3" s="1"/>
  <c r="G65" i="3"/>
  <c r="F65" i="3"/>
  <c r="E65" i="3"/>
  <c r="C65" i="3" a="1"/>
  <c r="C65" i="3" s="1"/>
  <c r="B65" i="3" a="1"/>
  <c r="B65" i="3" s="1"/>
  <c r="G64" i="3"/>
  <c r="F64" i="3"/>
  <c r="E64" i="3"/>
  <c r="C64" i="3" a="1"/>
  <c r="C64" i="3" s="1"/>
  <c r="B64" i="3" a="1"/>
  <c r="B64" i="3" s="1"/>
  <c r="G63" i="3"/>
  <c r="F63" i="3"/>
  <c r="E63" i="3"/>
  <c r="C63" i="3" a="1"/>
  <c r="C63" i="3" s="1"/>
  <c r="B63" i="3" a="1"/>
  <c r="B63" i="3" s="1"/>
  <c r="G62" i="3"/>
  <c r="F62" i="3"/>
  <c r="E62" i="3"/>
  <c r="C62" i="3" a="1"/>
  <c r="C62" i="3" s="1"/>
  <c r="B62" i="3" a="1"/>
  <c r="B62" i="3" s="1"/>
  <c r="G61" i="3"/>
  <c r="F61" i="3"/>
  <c r="E61" i="3"/>
  <c r="C61" i="3" a="1"/>
  <c r="C61" i="3" s="1"/>
  <c r="B61" i="3" a="1"/>
  <c r="B61" i="3" s="1"/>
  <c r="G60" i="3"/>
  <c r="F60" i="3"/>
  <c r="E60" i="3"/>
  <c r="C60" i="3" a="1"/>
  <c r="C60" i="3" s="1"/>
  <c r="B60" i="3" a="1"/>
  <c r="B60" i="3" s="1"/>
  <c r="G59" i="3"/>
  <c r="F59" i="3"/>
  <c r="E59" i="3"/>
  <c r="C59" i="3" a="1"/>
  <c r="C59" i="3" s="1"/>
  <c r="B59" i="3" a="1"/>
  <c r="B59" i="3" s="1"/>
  <c r="G58" i="3"/>
  <c r="F58" i="3"/>
  <c r="E58" i="3"/>
  <c r="C58" i="3" a="1"/>
  <c r="C58" i="3" s="1"/>
  <c r="B58" i="3" a="1"/>
  <c r="B58" i="3" s="1"/>
  <c r="G57" i="3"/>
  <c r="F57" i="3"/>
  <c r="E57" i="3"/>
  <c r="C57" i="3" a="1"/>
  <c r="C57" i="3" s="1"/>
  <c r="B57" i="3" a="1"/>
  <c r="B57" i="3" s="1"/>
  <c r="G56" i="3"/>
  <c r="F56" i="3"/>
  <c r="E56" i="3"/>
  <c r="C56" i="3" a="1"/>
  <c r="C56" i="3" s="1"/>
  <c r="B56" i="3" a="1"/>
  <c r="B56" i="3" s="1"/>
  <c r="G55" i="3"/>
  <c r="F55" i="3"/>
  <c r="E55" i="3"/>
  <c r="C55" i="3" a="1"/>
  <c r="C55" i="3" s="1"/>
  <c r="B55" i="3" a="1"/>
  <c r="B55" i="3" s="1"/>
  <c r="G54" i="3"/>
  <c r="F54" i="3"/>
  <c r="E54" i="3"/>
  <c r="C54" i="3" a="1"/>
  <c r="C54" i="3" s="1"/>
  <c r="B54" i="3" a="1"/>
  <c r="B54" i="3" s="1"/>
  <c r="G53" i="3"/>
  <c r="F53" i="3"/>
  <c r="E53" i="3"/>
  <c r="C53" i="3" a="1"/>
  <c r="C53" i="3" s="1"/>
  <c r="B53" i="3" a="1"/>
  <c r="B53" i="3" s="1"/>
  <c r="G52" i="3"/>
  <c r="F52" i="3"/>
  <c r="E52" i="3"/>
  <c r="C52" i="3" a="1"/>
  <c r="C52" i="3" s="1"/>
  <c r="B52" i="3" a="1"/>
  <c r="B52" i="3" s="1"/>
  <c r="G51" i="3"/>
  <c r="F51" i="3"/>
  <c r="E51" i="3"/>
  <c r="C51" i="3" a="1"/>
  <c r="C51" i="3" s="1"/>
  <c r="B51" i="3" a="1"/>
  <c r="B51" i="3" s="1"/>
  <c r="G50" i="3"/>
  <c r="F50" i="3"/>
  <c r="E50" i="3"/>
  <c r="C50" i="3" a="1"/>
  <c r="C50" i="3" s="1"/>
  <c r="B50" i="3" a="1"/>
  <c r="B50" i="3" s="1"/>
  <c r="G49" i="3"/>
  <c r="F49" i="3"/>
  <c r="E49" i="3"/>
  <c r="C49" i="3" a="1"/>
  <c r="C49" i="3" s="1"/>
  <c r="B49" i="3" a="1"/>
  <c r="B49" i="3" s="1"/>
  <c r="G48" i="3"/>
  <c r="F48" i="3"/>
  <c r="E48" i="3"/>
  <c r="C48" i="3" a="1"/>
  <c r="C48" i="3" s="1"/>
  <c r="B48" i="3" a="1"/>
  <c r="B48" i="3" s="1"/>
  <c r="G47" i="3"/>
  <c r="F47" i="3"/>
  <c r="E47" i="3"/>
  <c r="C47" i="3" a="1"/>
  <c r="C47" i="3" s="1"/>
  <c r="B47" i="3" a="1"/>
  <c r="B47" i="3" s="1"/>
  <c r="G46" i="3"/>
  <c r="F46" i="3"/>
  <c r="E46" i="3"/>
  <c r="C46" i="3" a="1"/>
  <c r="C46" i="3" s="1"/>
  <c r="B46" i="3" a="1"/>
  <c r="B46" i="3" s="1"/>
  <c r="G45" i="3"/>
  <c r="F45" i="3"/>
  <c r="E45" i="3"/>
  <c r="C45" i="3" a="1"/>
  <c r="C45" i="3" s="1"/>
  <c r="B45" i="3" a="1"/>
  <c r="B45" i="3" s="1"/>
  <c r="G44" i="3"/>
  <c r="F44" i="3"/>
  <c r="E44" i="3"/>
  <c r="C44" i="3" a="1"/>
  <c r="C44" i="3" s="1"/>
  <c r="B44" i="3" a="1"/>
  <c r="B44" i="3" s="1"/>
  <c r="G43" i="3"/>
  <c r="F43" i="3"/>
  <c r="E43" i="3"/>
  <c r="C43" i="3" a="1"/>
  <c r="C43" i="3" s="1"/>
  <c r="B43" i="3" a="1"/>
  <c r="B43" i="3" s="1"/>
  <c r="G42" i="3"/>
  <c r="F42" i="3"/>
  <c r="E42" i="3"/>
  <c r="C42" i="3" a="1"/>
  <c r="C42" i="3" s="1"/>
  <c r="B42" i="3" a="1"/>
  <c r="B42" i="3" s="1"/>
  <c r="G41" i="3"/>
  <c r="F41" i="3"/>
  <c r="E41" i="3"/>
  <c r="C41" i="3" a="1"/>
  <c r="C41" i="3" s="1"/>
  <c r="B41" i="3" a="1"/>
  <c r="B41" i="3" s="1"/>
  <c r="G40" i="3"/>
  <c r="F40" i="3"/>
  <c r="E40" i="3"/>
  <c r="C40" i="3" a="1"/>
  <c r="C40" i="3" s="1"/>
  <c r="B40" i="3" a="1"/>
  <c r="B40" i="3" s="1"/>
  <c r="G39" i="3"/>
  <c r="F39" i="3"/>
  <c r="E39" i="3"/>
  <c r="C39" i="3" a="1"/>
  <c r="C39" i="3" s="1"/>
  <c r="B39" i="3" a="1"/>
  <c r="B39" i="3" s="1"/>
  <c r="G38" i="3"/>
  <c r="F38" i="3"/>
  <c r="E38" i="3"/>
  <c r="C38" i="3" a="1"/>
  <c r="C38" i="3" s="1"/>
  <c r="B38" i="3" a="1"/>
  <c r="B38" i="3" s="1"/>
  <c r="G37" i="3"/>
  <c r="F37" i="3"/>
  <c r="E37" i="3"/>
  <c r="C37" i="3" a="1"/>
  <c r="C37" i="3" s="1"/>
  <c r="B37" i="3" a="1"/>
  <c r="B37" i="3" s="1"/>
  <c r="G36" i="3"/>
  <c r="F36" i="3"/>
  <c r="E36" i="3"/>
  <c r="C36" i="3" a="1"/>
  <c r="C36" i="3" s="1"/>
  <c r="B36" i="3" a="1"/>
  <c r="B36" i="3" s="1"/>
  <c r="G35" i="3"/>
  <c r="F35" i="3"/>
  <c r="E35" i="3"/>
  <c r="C35" i="3" a="1"/>
  <c r="C35" i="3" s="1"/>
  <c r="B35" i="3" a="1"/>
  <c r="B35" i="3" s="1"/>
  <c r="G34" i="3"/>
  <c r="F34" i="3"/>
  <c r="E34" i="3"/>
  <c r="C34" i="3" a="1"/>
  <c r="C34" i="3" s="1"/>
  <c r="B34" i="3" a="1"/>
  <c r="B34" i="3" s="1"/>
  <c r="G33" i="3"/>
  <c r="F33" i="3"/>
  <c r="E33" i="3"/>
  <c r="C33" i="3" a="1"/>
  <c r="C33" i="3" s="1"/>
  <c r="B33" i="3" a="1"/>
  <c r="B33" i="3" s="1"/>
  <c r="G32" i="3"/>
  <c r="F32" i="3"/>
  <c r="E32" i="3"/>
  <c r="C32" i="3" a="1"/>
  <c r="C32" i="3" s="1"/>
  <c r="B32" i="3" a="1"/>
  <c r="B32" i="3" s="1"/>
  <c r="G31" i="3"/>
  <c r="F31" i="3"/>
  <c r="E31" i="3"/>
  <c r="C31" i="3" a="1"/>
  <c r="C31" i="3" s="1"/>
  <c r="B31" i="3" a="1"/>
  <c r="B31" i="3" s="1"/>
  <c r="G30" i="3"/>
  <c r="F30" i="3"/>
  <c r="E30" i="3"/>
  <c r="C30" i="3" a="1"/>
  <c r="C30" i="3" s="1"/>
  <c r="B30" i="3" a="1"/>
  <c r="B30" i="3" s="1"/>
  <c r="G29" i="3"/>
  <c r="F29" i="3"/>
  <c r="E29" i="3"/>
  <c r="C29" i="3" a="1"/>
  <c r="C29" i="3" s="1"/>
  <c r="B29" i="3" a="1"/>
  <c r="B29" i="3" s="1"/>
  <c r="G28" i="3"/>
  <c r="F28" i="3"/>
  <c r="E28" i="3"/>
  <c r="C28" i="3" a="1"/>
  <c r="C28" i="3" s="1"/>
  <c r="B28" i="3" a="1"/>
  <c r="B28" i="3" s="1"/>
  <c r="G27" i="3"/>
  <c r="F27" i="3"/>
  <c r="E27" i="3"/>
  <c r="C27" i="3" a="1"/>
  <c r="C27" i="3" s="1"/>
  <c r="B27" i="3" a="1"/>
  <c r="B27" i="3" s="1"/>
  <c r="G26" i="3"/>
  <c r="F26" i="3"/>
  <c r="E26" i="3"/>
  <c r="C26" i="3" a="1"/>
  <c r="C26" i="3" s="1"/>
  <c r="B26" i="3" a="1"/>
  <c r="B26" i="3" s="1"/>
  <c r="G25" i="3"/>
  <c r="F25" i="3"/>
  <c r="E25" i="3"/>
  <c r="C25" i="3" a="1"/>
  <c r="C25" i="3" s="1"/>
  <c r="B25" i="3" a="1"/>
  <c r="B25" i="3" s="1"/>
  <c r="G24" i="3"/>
  <c r="F24" i="3"/>
  <c r="E24" i="3"/>
  <c r="C24" i="3" a="1"/>
  <c r="C24" i="3" s="1"/>
  <c r="B24" i="3" a="1"/>
  <c r="B24" i="3" s="1"/>
  <c r="G23" i="3"/>
  <c r="F23" i="3"/>
  <c r="E23" i="3"/>
  <c r="C23" i="3" a="1"/>
  <c r="C23" i="3" s="1"/>
  <c r="B23" i="3" a="1"/>
  <c r="B23" i="3" s="1"/>
  <c r="G22" i="3"/>
  <c r="F22" i="3"/>
  <c r="E22" i="3"/>
  <c r="C22" i="3" a="1"/>
  <c r="C22" i="3" s="1"/>
  <c r="B22" i="3" a="1"/>
  <c r="B22" i="3" s="1"/>
  <c r="G21" i="3"/>
  <c r="F21" i="3"/>
  <c r="E21" i="3"/>
  <c r="C21" i="3" a="1"/>
  <c r="C21" i="3" s="1"/>
  <c r="B21" i="3" a="1"/>
  <c r="B21" i="3" s="1"/>
  <c r="G20" i="3"/>
  <c r="F20" i="3"/>
  <c r="E20" i="3"/>
  <c r="C20" i="3" a="1"/>
  <c r="C20" i="3" s="1"/>
  <c r="B20" i="3" a="1"/>
  <c r="B20" i="3" s="1"/>
  <c r="G19" i="3"/>
  <c r="F19" i="3"/>
  <c r="E19" i="3"/>
  <c r="C19" i="3" a="1"/>
  <c r="C19" i="3" s="1"/>
  <c r="B19" i="3" a="1"/>
  <c r="B19" i="3" s="1"/>
  <c r="G18" i="3"/>
  <c r="F18" i="3"/>
  <c r="E18" i="3"/>
  <c r="C18" i="3" a="1"/>
  <c r="C18" i="3" s="1"/>
  <c r="B18" i="3" a="1"/>
  <c r="B18" i="3" s="1"/>
  <c r="G17" i="3"/>
  <c r="F17" i="3"/>
  <c r="E17" i="3"/>
  <c r="C17" i="3" a="1"/>
  <c r="C17" i="3" s="1"/>
  <c r="B17" i="3" a="1"/>
  <c r="B17" i="3" s="1"/>
  <c r="G16" i="3"/>
  <c r="F16" i="3"/>
  <c r="E16" i="3"/>
  <c r="C16" i="3" a="1"/>
  <c r="C16" i="3" s="1"/>
  <c r="B16" i="3" a="1"/>
  <c r="B16" i="3" s="1"/>
  <c r="G15" i="3"/>
  <c r="F15" i="3"/>
  <c r="E15" i="3"/>
  <c r="C15" i="3" a="1"/>
  <c r="C15" i="3" s="1"/>
  <c r="B15" i="3" a="1"/>
  <c r="B15" i="3" s="1"/>
  <c r="G14" i="3"/>
  <c r="F14" i="3"/>
  <c r="E14" i="3"/>
  <c r="C14" i="3" a="1"/>
  <c r="C14" i="3" s="1"/>
  <c r="B14" i="3" a="1"/>
  <c r="B14" i="3" s="1"/>
  <c r="G13" i="3"/>
  <c r="F13" i="3"/>
  <c r="E13" i="3"/>
  <c r="C13" i="3" a="1"/>
  <c r="C13" i="3" s="1"/>
  <c r="B13" i="3" a="1"/>
  <c r="B13" i="3" s="1"/>
  <c r="G12" i="3"/>
  <c r="F12" i="3"/>
  <c r="E12" i="3"/>
  <c r="C12" i="3" a="1"/>
  <c r="C12" i="3" s="1"/>
  <c r="B12" i="3" a="1"/>
  <c r="B12" i="3" s="1"/>
  <c r="G11" i="3"/>
  <c r="F11" i="3"/>
  <c r="E11" i="3"/>
  <c r="C11" i="3" a="1"/>
  <c r="C11" i="3" s="1"/>
  <c r="B11" i="3" a="1"/>
  <c r="B11" i="3" s="1"/>
  <c r="G10" i="3"/>
  <c r="F10" i="3"/>
  <c r="E10" i="3"/>
  <c r="C10" i="3" a="1"/>
  <c r="C10" i="3" s="1"/>
  <c r="B10" i="3" a="1"/>
  <c r="B10" i="3" s="1"/>
  <c r="G9" i="3"/>
  <c r="F9" i="3"/>
  <c r="E9" i="3"/>
  <c r="C9" i="3" a="1"/>
  <c r="C9" i="3" s="1"/>
  <c r="B9" i="3" a="1"/>
  <c r="B9" i="3" s="1"/>
  <c r="G8" i="3"/>
  <c r="F8" i="3"/>
  <c r="E8" i="3"/>
  <c r="C8" i="3" a="1"/>
  <c r="C8" i="3" s="1"/>
  <c r="B8" i="3" a="1"/>
  <c r="B8" i="3" s="1"/>
  <c r="G7" i="3"/>
  <c r="F7" i="3"/>
  <c r="E7" i="3"/>
  <c r="C7" i="3" a="1"/>
  <c r="C7" i="3" s="1"/>
  <c r="B7" i="3" a="1"/>
  <c r="B7" i="3" s="1"/>
  <c r="G6" i="3"/>
  <c r="F6" i="3"/>
  <c r="E6" i="3"/>
  <c r="C6" i="3" a="1"/>
  <c r="C6" i="3" s="1"/>
  <c r="B6" i="3" a="1"/>
  <c r="B6" i="3" s="1"/>
  <c r="G5" i="3"/>
  <c r="F5" i="3"/>
  <c r="E5" i="3"/>
  <c r="C5" i="3" a="1"/>
  <c r="C5" i="3" s="1"/>
  <c r="B5" i="3" a="1"/>
  <c r="B5" i="3" s="1"/>
  <c r="G4" i="3"/>
  <c r="F4" i="3"/>
  <c r="C4" i="3" a="1"/>
  <c r="C4" i="3" s="1"/>
  <c r="B4" i="3" a="1"/>
  <c r="B4" i="3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E113" i="2"/>
  <c r="E114" i="2"/>
  <c r="E115" i="2"/>
  <c r="E116" i="2"/>
  <c r="E117" i="2"/>
  <c r="E118" i="2"/>
  <c r="E119" i="2"/>
  <c r="F113" i="2"/>
  <c r="F114" i="2"/>
  <c r="F115" i="2"/>
  <c r="F116" i="2"/>
  <c r="F117" i="2"/>
  <c r="F118" i="2"/>
  <c r="F119" i="2"/>
  <c r="G113" i="2"/>
  <c r="G114" i="2"/>
  <c r="G115" i="2"/>
  <c r="G116" i="2"/>
  <c r="G117" i="2"/>
  <c r="G118" i="2"/>
  <c r="G119" i="2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D112" i="2" a="1"/>
  <c r="D112" i="2" s="1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4" i="2"/>
  <c r="H92" i="2" a="1"/>
  <c r="H92" i="2" s="1"/>
  <c r="F92" i="2"/>
  <c r="E92" i="2"/>
  <c r="C92" i="2" a="1"/>
  <c r="C92" i="2" s="1"/>
  <c r="B92" i="2" a="1"/>
  <c r="B92" i="2" s="1"/>
  <c r="H91" i="2" a="1"/>
  <c r="H91" i="2" s="1"/>
  <c r="F91" i="2"/>
  <c r="E91" i="2"/>
  <c r="C91" i="2" a="1"/>
  <c r="C91" i="2" s="1"/>
  <c r="B91" i="2" a="1"/>
  <c r="B91" i="2" s="1"/>
  <c r="H90" i="2" a="1"/>
  <c r="H90" i="2" s="1"/>
  <c r="F90" i="2"/>
  <c r="E90" i="2"/>
  <c r="C90" i="2" a="1"/>
  <c r="C90" i="2" s="1"/>
  <c r="B90" i="2" a="1"/>
  <c r="B90" i="2" s="1"/>
  <c r="H89" i="2" a="1"/>
  <c r="H89" i="2" s="1"/>
  <c r="F89" i="2"/>
  <c r="E89" i="2"/>
  <c r="C89" i="2" a="1"/>
  <c r="C89" i="2" s="1"/>
  <c r="B89" i="2" a="1"/>
  <c r="B89" i="2" s="1"/>
  <c r="H88" i="2" a="1"/>
  <c r="H88" i="2" s="1"/>
  <c r="F88" i="2"/>
  <c r="E88" i="2"/>
  <c r="C88" i="2" a="1"/>
  <c r="C88" i="2" s="1"/>
  <c r="B88" i="2" a="1"/>
  <c r="B88" i="2" s="1"/>
  <c r="H87" i="2" a="1"/>
  <c r="H87" i="2" s="1"/>
  <c r="F87" i="2"/>
  <c r="E87" i="2"/>
  <c r="C87" i="2" a="1"/>
  <c r="C87" i="2" s="1"/>
  <c r="B87" i="2" a="1"/>
  <c r="B87" i="2" s="1"/>
  <c r="H86" i="2" a="1"/>
  <c r="H86" i="2" s="1"/>
  <c r="F86" i="2"/>
  <c r="E86" i="2"/>
  <c r="C86" i="2" a="1"/>
  <c r="C86" i="2" s="1"/>
  <c r="B86" i="2" a="1"/>
  <c r="B86" i="2" s="1"/>
  <c r="H85" i="2" a="1"/>
  <c r="H85" i="2" s="1"/>
  <c r="F85" i="2"/>
  <c r="E85" i="2"/>
  <c r="C85" i="2" a="1"/>
  <c r="C85" i="2" s="1"/>
  <c r="B85" i="2" a="1"/>
  <c r="B85" i="2" s="1"/>
  <c r="H84" i="2" a="1"/>
  <c r="H84" i="2" s="1"/>
  <c r="F84" i="2"/>
  <c r="E84" i="2"/>
  <c r="C84" i="2" a="1"/>
  <c r="C84" i="2" s="1"/>
  <c r="B84" i="2" a="1"/>
  <c r="B84" i="2" s="1"/>
  <c r="H83" i="2" a="1"/>
  <c r="H83" i="2" s="1"/>
  <c r="F83" i="2"/>
  <c r="E83" i="2"/>
  <c r="C83" i="2" a="1"/>
  <c r="C83" i="2" s="1"/>
  <c r="B83" i="2" a="1"/>
  <c r="B83" i="2" s="1"/>
  <c r="H82" i="2" a="1"/>
  <c r="H82" i="2" s="1"/>
  <c r="F82" i="2"/>
  <c r="E82" i="2"/>
  <c r="C82" i="2" a="1"/>
  <c r="C82" i="2" s="1"/>
  <c r="B82" i="2" a="1"/>
  <c r="B82" i="2" s="1"/>
  <c r="H81" i="2" a="1"/>
  <c r="H81" i="2" s="1"/>
  <c r="F81" i="2"/>
  <c r="E81" i="2"/>
  <c r="C81" i="2" a="1"/>
  <c r="C81" i="2" s="1"/>
  <c r="B81" i="2" a="1"/>
  <c r="B81" i="2" s="1"/>
  <c r="H80" i="2" a="1"/>
  <c r="H80" i="2" s="1"/>
  <c r="F80" i="2"/>
  <c r="E80" i="2"/>
  <c r="C80" i="2" a="1"/>
  <c r="C80" i="2" s="1"/>
  <c r="B80" i="2" a="1"/>
  <c r="B80" i="2" s="1"/>
  <c r="H79" i="2" a="1"/>
  <c r="H79" i="2" s="1"/>
  <c r="F79" i="2"/>
  <c r="E79" i="2"/>
  <c r="C79" i="2" a="1"/>
  <c r="C79" i="2" s="1"/>
  <c r="B79" i="2" a="1"/>
  <c r="B79" i="2" s="1"/>
  <c r="H78" i="2" a="1"/>
  <c r="H78" i="2" s="1"/>
  <c r="F78" i="2"/>
  <c r="E78" i="2"/>
  <c r="C78" i="2" a="1"/>
  <c r="C78" i="2" s="1"/>
  <c r="B78" i="2" a="1"/>
  <c r="B78" i="2" s="1"/>
  <c r="H77" i="2" a="1"/>
  <c r="H77" i="2" s="1"/>
  <c r="F77" i="2"/>
  <c r="E77" i="2"/>
  <c r="C77" i="2" a="1"/>
  <c r="C77" i="2" s="1"/>
  <c r="B77" i="2" a="1"/>
  <c r="B77" i="2" s="1"/>
  <c r="H76" i="2" a="1"/>
  <c r="H76" i="2" s="1"/>
  <c r="F76" i="2"/>
  <c r="E76" i="2"/>
  <c r="C76" i="2" a="1"/>
  <c r="C76" i="2" s="1"/>
  <c r="B76" i="2" a="1"/>
  <c r="B76" i="2" s="1"/>
  <c r="H75" i="2" a="1"/>
  <c r="H75" i="2" s="1"/>
  <c r="F75" i="2"/>
  <c r="E75" i="2"/>
  <c r="C75" i="2" a="1"/>
  <c r="C75" i="2" s="1"/>
  <c r="B75" i="2" a="1"/>
  <c r="B75" i="2" s="1"/>
  <c r="H74" i="2" a="1"/>
  <c r="H74" i="2" s="1"/>
  <c r="F74" i="2"/>
  <c r="E74" i="2"/>
  <c r="C74" i="2" a="1"/>
  <c r="C74" i="2" s="1"/>
  <c r="B74" i="2" a="1"/>
  <c r="B74" i="2" s="1"/>
  <c r="H73" i="2" a="1"/>
  <c r="H73" i="2" s="1"/>
  <c r="F73" i="2"/>
  <c r="E73" i="2"/>
  <c r="C73" i="2" a="1"/>
  <c r="C73" i="2" s="1"/>
  <c r="B73" i="2" a="1"/>
  <c r="B73" i="2" s="1"/>
  <c r="H72" i="2" a="1"/>
  <c r="H72" i="2" s="1"/>
  <c r="F72" i="2"/>
  <c r="E72" i="2"/>
  <c r="C72" i="2" a="1"/>
  <c r="C72" i="2" s="1"/>
  <c r="B72" i="2" a="1"/>
  <c r="B72" i="2" s="1"/>
  <c r="H71" i="2" a="1"/>
  <c r="H71" i="2" s="1"/>
  <c r="F71" i="2"/>
  <c r="E71" i="2"/>
  <c r="C71" i="2" a="1"/>
  <c r="C71" i="2" s="1"/>
  <c r="B71" i="2" a="1"/>
  <c r="B71" i="2" s="1"/>
  <c r="H70" i="2" a="1"/>
  <c r="H70" i="2" s="1"/>
  <c r="F70" i="2"/>
  <c r="E70" i="2"/>
  <c r="C70" i="2" a="1"/>
  <c r="C70" i="2" s="1"/>
  <c r="B70" i="2" a="1"/>
  <c r="B70" i="2" s="1"/>
  <c r="H69" i="2" a="1"/>
  <c r="H69" i="2" s="1"/>
  <c r="F69" i="2"/>
  <c r="E69" i="2"/>
  <c r="C69" i="2" a="1"/>
  <c r="C69" i="2" s="1"/>
  <c r="B69" i="2" a="1"/>
  <c r="B69" i="2" s="1"/>
  <c r="H68" i="2" a="1"/>
  <c r="H68" i="2" s="1"/>
  <c r="F68" i="2"/>
  <c r="E68" i="2"/>
  <c r="C68" i="2" a="1"/>
  <c r="C68" i="2" s="1"/>
  <c r="B68" i="2" a="1"/>
  <c r="B68" i="2" s="1"/>
  <c r="H67" i="2" a="1"/>
  <c r="H67" i="2" s="1"/>
  <c r="F67" i="2"/>
  <c r="E67" i="2"/>
  <c r="C67" i="2" a="1"/>
  <c r="C67" i="2" s="1"/>
  <c r="B67" i="2" a="1"/>
  <c r="B67" i="2" s="1"/>
  <c r="H66" i="2" a="1"/>
  <c r="H66" i="2" s="1"/>
  <c r="F66" i="2"/>
  <c r="E66" i="2"/>
  <c r="C66" i="2" a="1"/>
  <c r="C66" i="2" s="1"/>
  <c r="B66" i="2" a="1"/>
  <c r="B66" i="2" s="1"/>
  <c r="H65" i="2" a="1"/>
  <c r="H65" i="2" s="1"/>
  <c r="F65" i="2"/>
  <c r="E65" i="2"/>
  <c r="C65" i="2" a="1"/>
  <c r="C65" i="2" s="1"/>
  <c r="B65" i="2" a="1"/>
  <c r="B65" i="2" s="1"/>
  <c r="H64" i="2" a="1"/>
  <c r="H64" i="2" s="1"/>
  <c r="F64" i="2"/>
  <c r="E64" i="2"/>
  <c r="C64" i="2" a="1"/>
  <c r="C64" i="2" s="1"/>
  <c r="B64" i="2" a="1"/>
  <c r="B64" i="2" s="1"/>
  <c r="H63" i="2" a="1"/>
  <c r="H63" i="2" s="1"/>
  <c r="F63" i="2"/>
  <c r="E63" i="2"/>
  <c r="C63" i="2" a="1"/>
  <c r="C63" i="2" s="1"/>
  <c r="B63" i="2" a="1"/>
  <c r="B63" i="2" s="1"/>
  <c r="H62" i="2" a="1"/>
  <c r="H62" i="2" s="1"/>
  <c r="F62" i="2"/>
  <c r="E62" i="2"/>
  <c r="C62" i="2" a="1"/>
  <c r="C62" i="2" s="1"/>
  <c r="B62" i="2" a="1"/>
  <c r="B62" i="2" s="1"/>
  <c r="H61" i="2" a="1"/>
  <c r="H61" i="2" s="1"/>
  <c r="F61" i="2"/>
  <c r="E61" i="2"/>
  <c r="C61" i="2" a="1"/>
  <c r="C61" i="2" s="1"/>
  <c r="B61" i="2" a="1"/>
  <c r="B61" i="2" s="1"/>
  <c r="H60" i="2" a="1"/>
  <c r="H60" i="2" s="1"/>
  <c r="F60" i="2"/>
  <c r="E60" i="2"/>
  <c r="C60" i="2" a="1"/>
  <c r="C60" i="2" s="1"/>
  <c r="B60" i="2" a="1"/>
  <c r="B60" i="2" s="1"/>
  <c r="H59" i="2" a="1"/>
  <c r="H59" i="2" s="1"/>
  <c r="F59" i="2"/>
  <c r="E59" i="2"/>
  <c r="C59" i="2" a="1"/>
  <c r="C59" i="2" s="1"/>
  <c r="B59" i="2" a="1"/>
  <c r="B59" i="2" s="1"/>
  <c r="H58" i="2" a="1"/>
  <c r="H58" i="2" s="1"/>
  <c r="F58" i="2"/>
  <c r="E58" i="2"/>
  <c r="C58" i="2" a="1"/>
  <c r="C58" i="2" s="1"/>
  <c r="B58" i="2" a="1"/>
  <c r="B58" i="2" s="1"/>
  <c r="H57" i="2" a="1"/>
  <c r="H57" i="2" s="1"/>
  <c r="F57" i="2"/>
  <c r="E57" i="2"/>
  <c r="C57" i="2" a="1"/>
  <c r="C57" i="2" s="1"/>
  <c r="B57" i="2" a="1"/>
  <c r="B57" i="2" s="1"/>
  <c r="H56" i="2" a="1"/>
  <c r="H56" i="2" s="1"/>
  <c r="F56" i="2"/>
  <c r="E56" i="2"/>
  <c r="C56" i="2" a="1"/>
  <c r="C56" i="2" s="1"/>
  <c r="B56" i="2" a="1"/>
  <c r="B56" i="2" s="1"/>
  <c r="H55" i="2" a="1"/>
  <c r="H55" i="2" s="1"/>
  <c r="F55" i="2"/>
  <c r="E55" i="2"/>
  <c r="C55" i="2" a="1"/>
  <c r="C55" i="2" s="1"/>
  <c r="B55" i="2" a="1"/>
  <c r="B55" i="2" s="1"/>
  <c r="H54" i="2" a="1"/>
  <c r="H54" i="2" s="1"/>
  <c r="F54" i="2"/>
  <c r="E54" i="2"/>
  <c r="C54" i="2" a="1"/>
  <c r="C54" i="2" s="1"/>
  <c r="B54" i="2" a="1"/>
  <c r="B54" i="2" s="1"/>
  <c r="H53" i="2" a="1"/>
  <c r="H53" i="2" s="1"/>
  <c r="F53" i="2"/>
  <c r="E53" i="2"/>
  <c r="C53" i="2" a="1"/>
  <c r="C53" i="2" s="1"/>
  <c r="B53" i="2" a="1"/>
  <c r="B53" i="2" s="1"/>
  <c r="H52" i="2" a="1"/>
  <c r="H52" i="2" s="1"/>
  <c r="F52" i="2"/>
  <c r="E52" i="2"/>
  <c r="C52" i="2" a="1"/>
  <c r="C52" i="2" s="1"/>
  <c r="B52" i="2" a="1"/>
  <c r="B52" i="2" s="1"/>
  <c r="H51" i="2" a="1"/>
  <c r="H51" i="2" s="1"/>
  <c r="F51" i="2"/>
  <c r="E51" i="2"/>
  <c r="C51" i="2" a="1"/>
  <c r="C51" i="2" s="1"/>
  <c r="B51" i="2" a="1"/>
  <c r="B51" i="2" s="1"/>
  <c r="H50" i="2" a="1"/>
  <c r="H50" i="2" s="1"/>
  <c r="F50" i="2"/>
  <c r="E50" i="2"/>
  <c r="C50" i="2" a="1"/>
  <c r="C50" i="2" s="1"/>
  <c r="B50" i="2" a="1"/>
  <c r="B50" i="2" s="1"/>
  <c r="H49" i="2" a="1"/>
  <c r="H49" i="2" s="1"/>
  <c r="F49" i="2"/>
  <c r="E49" i="2"/>
  <c r="C49" i="2" a="1"/>
  <c r="C49" i="2" s="1"/>
  <c r="B49" i="2" a="1"/>
  <c r="B49" i="2" s="1"/>
  <c r="H48" i="2" a="1"/>
  <c r="H48" i="2" s="1"/>
  <c r="F48" i="2"/>
  <c r="E48" i="2"/>
  <c r="C48" i="2" a="1"/>
  <c r="C48" i="2" s="1"/>
  <c r="B48" i="2" a="1"/>
  <c r="B48" i="2" s="1"/>
  <c r="H47" i="2" a="1"/>
  <c r="H47" i="2" s="1"/>
  <c r="F47" i="2"/>
  <c r="E47" i="2"/>
  <c r="C47" i="2" a="1"/>
  <c r="C47" i="2" s="1"/>
  <c r="B47" i="2" a="1"/>
  <c r="B47" i="2" s="1"/>
  <c r="H46" i="2" a="1"/>
  <c r="H46" i="2" s="1"/>
  <c r="F46" i="2"/>
  <c r="E46" i="2"/>
  <c r="C46" i="2" a="1"/>
  <c r="C46" i="2" s="1"/>
  <c r="B46" i="2" a="1"/>
  <c r="B46" i="2" s="1"/>
  <c r="H45" i="2" a="1"/>
  <c r="H45" i="2" s="1"/>
  <c r="F45" i="2"/>
  <c r="E45" i="2"/>
  <c r="C45" i="2" a="1"/>
  <c r="C45" i="2" s="1"/>
  <c r="B45" i="2" a="1"/>
  <c r="B45" i="2" s="1"/>
  <c r="H44" i="2" a="1"/>
  <c r="H44" i="2" s="1"/>
  <c r="F44" i="2"/>
  <c r="E44" i="2"/>
  <c r="C44" i="2" a="1"/>
  <c r="C44" i="2" s="1"/>
  <c r="B44" i="2" a="1"/>
  <c r="B44" i="2" s="1"/>
  <c r="H43" i="2" a="1"/>
  <c r="H43" i="2" s="1"/>
  <c r="F43" i="2"/>
  <c r="E43" i="2"/>
  <c r="C43" i="2" a="1"/>
  <c r="C43" i="2" s="1"/>
  <c r="B43" i="2" a="1"/>
  <c r="B43" i="2" s="1"/>
  <c r="H42" i="2" a="1"/>
  <c r="H42" i="2" s="1"/>
  <c r="F42" i="2"/>
  <c r="E42" i="2"/>
  <c r="C42" i="2" a="1"/>
  <c r="C42" i="2" s="1"/>
  <c r="B42" i="2" a="1"/>
  <c r="B42" i="2" s="1"/>
  <c r="H41" i="2" a="1"/>
  <c r="H41" i="2" s="1"/>
  <c r="F41" i="2"/>
  <c r="E41" i="2"/>
  <c r="C41" i="2" a="1"/>
  <c r="C41" i="2" s="1"/>
  <c r="B41" i="2" a="1"/>
  <c r="B41" i="2" s="1"/>
  <c r="H40" i="2" a="1"/>
  <c r="H40" i="2" s="1"/>
  <c r="F40" i="2"/>
  <c r="E40" i="2"/>
  <c r="C40" i="2" a="1"/>
  <c r="C40" i="2" s="1"/>
  <c r="B40" i="2" a="1"/>
  <c r="B40" i="2" s="1"/>
  <c r="H39" i="2" a="1"/>
  <c r="H39" i="2" s="1"/>
  <c r="F39" i="2"/>
  <c r="E39" i="2"/>
  <c r="C39" i="2" a="1"/>
  <c r="C39" i="2" s="1"/>
  <c r="B39" i="2" a="1"/>
  <c r="B39" i="2" s="1"/>
  <c r="H38" i="2" a="1"/>
  <c r="H38" i="2" s="1"/>
  <c r="F38" i="2"/>
  <c r="E38" i="2"/>
  <c r="C38" i="2" a="1"/>
  <c r="C38" i="2" s="1"/>
  <c r="B38" i="2" a="1"/>
  <c r="B38" i="2" s="1"/>
  <c r="H37" i="2" a="1"/>
  <c r="H37" i="2" s="1"/>
  <c r="F37" i="2"/>
  <c r="E37" i="2"/>
  <c r="C37" i="2" a="1"/>
  <c r="C37" i="2" s="1"/>
  <c r="B37" i="2" a="1"/>
  <c r="B37" i="2" s="1"/>
  <c r="H36" i="2" a="1"/>
  <c r="H36" i="2" s="1"/>
  <c r="F36" i="2"/>
  <c r="E36" i="2"/>
  <c r="C36" i="2" a="1"/>
  <c r="C36" i="2" s="1"/>
  <c r="B36" i="2" a="1"/>
  <c r="B36" i="2" s="1"/>
  <c r="H35" i="2" a="1"/>
  <c r="H35" i="2" s="1"/>
  <c r="F35" i="2"/>
  <c r="E35" i="2"/>
  <c r="C35" i="2" a="1"/>
  <c r="C35" i="2" s="1"/>
  <c r="B35" i="2" a="1"/>
  <c r="B35" i="2" s="1"/>
  <c r="H34" i="2" a="1"/>
  <c r="H34" i="2" s="1"/>
  <c r="F34" i="2"/>
  <c r="E34" i="2"/>
  <c r="C34" i="2" a="1"/>
  <c r="C34" i="2" s="1"/>
  <c r="B34" i="2" a="1"/>
  <c r="B34" i="2" s="1"/>
  <c r="H33" i="2" a="1"/>
  <c r="H33" i="2" s="1"/>
  <c r="F33" i="2"/>
  <c r="E33" i="2"/>
  <c r="C33" i="2" a="1"/>
  <c r="C33" i="2" s="1"/>
  <c r="B33" i="2" a="1"/>
  <c r="B33" i="2" s="1"/>
  <c r="H32" i="2" a="1"/>
  <c r="H32" i="2" s="1"/>
  <c r="F32" i="2"/>
  <c r="E32" i="2"/>
  <c r="C32" i="2" a="1"/>
  <c r="C32" i="2" s="1"/>
  <c r="B32" i="2" a="1"/>
  <c r="B32" i="2" s="1"/>
  <c r="H31" i="2" a="1"/>
  <c r="H31" i="2" s="1"/>
  <c r="F31" i="2"/>
  <c r="E31" i="2"/>
  <c r="C31" i="2" a="1"/>
  <c r="C31" i="2" s="1"/>
  <c r="B31" i="2" a="1"/>
  <c r="B31" i="2" s="1"/>
  <c r="H30" i="2" a="1"/>
  <c r="H30" i="2" s="1"/>
  <c r="F30" i="2"/>
  <c r="E30" i="2"/>
  <c r="C30" i="2" a="1"/>
  <c r="C30" i="2" s="1"/>
  <c r="B30" i="2" a="1"/>
  <c r="B30" i="2" s="1"/>
  <c r="H29" i="2" a="1"/>
  <c r="H29" i="2" s="1"/>
  <c r="F29" i="2"/>
  <c r="E29" i="2"/>
  <c r="C29" i="2" a="1"/>
  <c r="C29" i="2" s="1"/>
  <c r="B29" i="2" a="1"/>
  <c r="B29" i="2" s="1"/>
  <c r="H28" i="2" a="1"/>
  <c r="H28" i="2" s="1"/>
  <c r="F28" i="2"/>
  <c r="E28" i="2"/>
  <c r="C28" i="2" a="1"/>
  <c r="C28" i="2" s="1"/>
  <c r="B28" i="2" a="1"/>
  <c r="B28" i="2" s="1"/>
  <c r="H27" i="2" a="1"/>
  <c r="H27" i="2" s="1"/>
  <c r="F27" i="2"/>
  <c r="E27" i="2"/>
  <c r="C27" i="2" a="1"/>
  <c r="C27" i="2" s="1"/>
  <c r="B27" i="2" a="1"/>
  <c r="B27" i="2" s="1"/>
  <c r="H26" i="2" a="1"/>
  <c r="H26" i="2" s="1"/>
  <c r="F26" i="2"/>
  <c r="E26" i="2"/>
  <c r="C26" i="2" a="1"/>
  <c r="C26" i="2" s="1"/>
  <c r="B26" i="2" a="1"/>
  <c r="B26" i="2" s="1"/>
  <c r="H25" i="2" a="1"/>
  <c r="H25" i="2" s="1"/>
  <c r="F25" i="2"/>
  <c r="E25" i="2"/>
  <c r="C25" i="2" a="1"/>
  <c r="C25" i="2" s="1"/>
  <c r="B25" i="2" a="1"/>
  <c r="B25" i="2" s="1"/>
  <c r="H24" i="2" a="1"/>
  <c r="H24" i="2" s="1"/>
  <c r="F24" i="2"/>
  <c r="E24" i="2"/>
  <c r="C24" i="2" a="1"/>
  <c r="C24" i="2" s="1"/>
  <c r="B24" i="2" a="1"/>
  <c r="B24" i="2" s="1"/>
  <c r="H23" i="2" a="1"/>
  <c r="H23" i="2" s="1"/>
  <c r="F23" i="2"/>
  <c r="E23" i="2"/>
  <c r="C23" i="2" a="1"/>
  <c r="C23" i="2" s="1"/>
  <c r="B23" i="2" a="1"/>
  <c r="B23" i="2" s="1"/>
  <c r="H22" i="2" a="1"/>
  <c r="H22" i="2" s="1"/>
  <c r="F22" i="2"/>
  <c r="E22" i="2"/>
  <c r="C22" i="2" a="1"/>
  <c r="C22" i="2" s="1"/>
  <c r="B22" i="2" a="1"/>
  <c r="B22" i="2" s="1"/>
  <c r="H21" i="2" a="1"/>
  <c r="H21" i="2" s="1"/>
  <c r="F21" i="2"/>
  <c r="E21" i="2"/>
  <c r="C21" i="2" a="1"/>
  <c r="C21" i="2" s="1"/>
  <c r="B21" i="2" a="1"/>
  <c r="B21" i="2" s="1"/>
  <c r="H20" i="2" a="1"/>
  <c r="H20" i="2" s="1"/>
  <c r="F20" i="2"/>
  <c r="E20" i="2"/>
  <c r="C20" i="2" a="1"/>
  <c r="C20" i="2" s="1"/>
  <c r="B20" i="2" a="1"/>
  <c r="B20" i="2" s="1"/>
  <c r="H19" i="2" a="1"/>
  <c r="H19" i="2" s="1"/>
  <c r="F19" i="2"/>
  <c r="E19" i="2"/>
  <c r="C19" i="2" a="1"/>
  <c r="C19" i="2" s="1"/>
  <c r="B19" i="2" a="1"/>
  <c r="B19" i="2" s="1"/>
  <c r="H18" i="2" a="1"/>
  <c r="H18" i="2" s="1"/>
  <c r="F18" i="2"/>
  <c r="E18" i="2"/>
  <c r="C18" i="2" a="1"/>
  <c r="C18" i="2" s="1"/>
  <c r="B18" i="2" a="1"/>
  <c r="B18" i="2" s="1"/>
  <c r="H17" i="2" a="1"/>
  <c r="H17" i="2" s="1"/>
  <c r="F17" i="2"/>
  <c r="E17" i="2"/>
  <c r="C17" i="2" a="1"/>
  <c r="C17" i="2" s="1"/>
  <c r="B17" i="2" a="1"/>
  <c r="B17" i="2" s="1"/>
  <c r="H16" i="2" a="1"/>
  <c r="H16" i="2" s="1"/>
  <c r="F16" i="2"/>
  <c r="E16" i="2"/>
  <c r="C16" i="2" a="1"/>
  <c r="C16" i="2" s="1"/>
  <c r="B16" i="2" a="1"/>
  <c r="B16" i="2" s="1"/>
  <c r="H15" i="2" a="1"/>
  <c r="H15" i="2" s="1"/>
  <c r="F15" i="2"/>
  <c r="E15" i="2"/>
  <c r="C15" i="2" a="1"/>
  <c r="C15" i="2" s="1"/>
  <c r="B15" i="2" a="1"/>
  <c r="B15" i="2" s="1"/>
  <c r="H14" i="2" a="1"/>
  <c r="H14" i="2" s="1"/>
  <c r="F14" i="2"/>
  <c r="E14" i="2"/>
  <c r="C14" i="2" a="1"/>
  <c r="C14" i="2" s="1"/>
  <c r="B14" i="2" a="1"/>
  <c r="B14" i="2" s="1"/>
  <c r="H13" i="2" a="1"/>
  <c r="H13" i="2" s="1"/>
  <c r="F13" i="2"/>
  <c r="E13" i="2"/>
  <c r="C13" i="2" a="1"/>
  <c r="C13" i="2" s="1"/>
  <c r="B13" i="2" a="1"/>
  <c r="B13" i="2" s="1"/>
  <c r="H12" i="2" a="1"/>
  <c r="H12" i="2" s="1"/>
  <c r="F12" i="2"/>
  <c r="E12" i="2"/>
  <c r="C12" i="2" a="1"/>
  <c r="C12" i="2" s="1"/>
  <c r="B12" i="2" a="1"/>
  <c r="B12" i="2" s="1"/>
  <c r="H11" i="2" a="1"/>
  <c r="H11" i="2" s="1"/>
  <c r="F11" i="2"/>
  <c r="E11" i="2"/>
  <c r="C11" i="2" a="1"/>
  <c r="C11" i="2" s="1"/>
  <c r="B11" i="2" a="1"/>
  <c r="B11" i="2" s="1"/>
  <c r="H10" i="2" a="1"/>
  <c r="H10" i="2" s="1"/>
  <c r="F10" i="2"/>
  <c r="E10" i="2"/>
  <c r="C10" i="2" a="1"/>
  <c r="C10" i="2" s="1"/>
  <c r="B10" i="2" a="1"/>
  <c r="B10" i="2" s="1"/>
  <c r="H9" i="2" a="1"/>
  <c r="H9" i="2" s="1"/>
  <c r="F9" i="2"/>
  <c r="E9" i="2"/>
  <c r="C9" i="2" a="1"/>
  <c r="C9" i="2" s="1"/>
  <c r="B9" i="2" a="1"/>
  <c r="B9" i="2" s="1"/>
  <c r="H8" i="2" a="1"/>
  <c r="H8" i="2" s="1"/>
  <c r="F8" i="2"/>
  <c r="E8" i="2"/>
  <c r="C8" i="2" a="1"/>
  <c r="C8" i="2" s="1"/>
  <c r="B8" i="2" a="1"/>
  <c r="B8" i="2" s="1"/>
  <c r="H7" i="2" a="1"/>
  <c r="H7" i="2" s="1"/>
  <c r="F7" i="2"/>
  <c r="E7" i="2"/>
  <c r="C7" i="2" a="1"/>
  <c r="C7" i="2" s="1"/>
  <c r="B7" i="2" a="1"/>
  <c r="B7" i="2" s="1"/>
  <c r="H6" i="2" a="1"/>
  <c r="H6" i="2" s="1"/>
  <c r="F6" i="2"/>
  <c r="E6" i="2"/>
  <c r="C6" i="2" a="1"/>
  <c r="C6" i="2" s="1"/>
  <c r="B6" i="2" a="1"/>
  <c r="B6" i="2" s="1"/>
  <c r="H5" i="2" a="1"/>
  <c r="H5" i="2" s="1"/>
  <c r="F5" i="2"/>
  <c r="E5" i="2"/>
  <c r="C5" i="2" a="1"/>
  <c r="C5" i="2" s="1"/>
  <c r="B5" i="2" a="1"/>
  <c r="B5" i="2" s="1"/>
  <c r="H4" i="2" a="1"/>
  <c r="H4" i="2" s="1"/>
  <c r="F4" i="2"/>
  <c r="E4" i="2"/>
  <c r="C4" i="2" a="1"/>
  <c r="C4" i="2" s="1"/>
  <c r="B4" i="2" a="1"/>
  <c r="B4" i="2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4" i="1"/>
  <c r="G4" i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4" i="1" a="1"/>
  <c r="H4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4" i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4" i="1" a="1"/>
  <c r="B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4" i="1" a="1"/>
  <c r="C4" i="1" s="1"/>
  <c r="D15" i="4" l="1" a="1"/>
  <c r="D15" i="4" s="1"/>
  <c r="D36" i="4" a="1"/>
  <c r="D36" i="4" s="1"/>
  <c r="D10" i="2" a="1"/>
  <c r="D10" i="2" s="1"/>
  <c r="D109" i="4" a="1"/>
  <c r="D109" i="4" s="1"/>
  <c r="D18" i="2" a="1"/>
  <c r="D18" i="2" s="1"/>
  <c r="D134" i="4" a="1"/>
  <c r="D134" i="4" s="1"/>
  <c r="D87" i="4" a="1"/>
  <c r="D87" i="4" s="1"/>
  <c r="D125" i="4" a="1"/>
  <c r="D125" i="4" s="1"/>
  <c r="D8" i="1" a="1"/>
  <c r="D8" i="1" s="1"/>
  <c r="D28" i="4" a="1"/>
  <c r="D28" i="4" s="1"/>
  <c r="D110" i="4" a="1"/>
  <c r="D110" i="4" s="1"/>
  <c r="D86" i="4" a="1"/>
  <c r="D86" i="4" s="1"/>
  <c r="D14" i="4" a="1"/>
  <c r="D14" i="4" s="1"/>
  <c r="D70" i="4" a="1"/>
  <c r="D70" i="4" s="1"/>
  <c r="D59" i="4" a="1"/>
  <c r="D59" i="4" s="1"/>
  <c r="D137" i="4" a="1"/>
  <c r="D137" i="4" s="1"/>
  <c r="D130" i="4" a="1"/>
  <c r="D130" i="4" s="1"/>
  <c r="D4" i="4" a="1"/>
  <c r="D4" i="4" s="1"/>
  <c r="D108" i="2" a="1"/>
  <c r="D108" i="2" s="1"/>
  <c r="D102" i="4" a="1"/>
  <c r="D102" i="4" s="1"/>
  <c r="D64" i="2" a="1"/>
  <c r="D64" i="2" s="1"/>
  <c r="D25" i="1" a="1"/>
  <c r="D25" i="1" s="1"/>
  <c r="D56" i="2" a="1"/>
  <c r="D56" i="2" s="1"/>
  <c r="D73" i="2" a="1"/>
  <c r="D73" i="2" s="1"/>
  <c r="D110" i="2" a="1"/>
  <c r="D110" i="2" s="1"/>
  <c r="D6" i="2" a="1"/>
  <c r="D6" i="2" s="1"/>
  <c r="D114" i="2" a="1"/>
  <c r="D114" i="2" s="1"/>
  <c r="D16" i="4" a="1"/>
  <c r="D16" i="4" s="1"/>
  <c r="D124" i="4" a="1"/>
  <c r="D124" i="4" s="1"/>
  <c r="D133" i="4" a="1"/>
  <c r="D133" i="4" s="1"/>
  <c r="D42" i="2" a="1"/>
  <c r="D42" i="2" s="1"/>
  <c r="D103" i="4" a="1"/>
  <c r="D103" i="4" s="1"/>
  <c r="D69" i="4" a="1"/>
  <c r="D69" i="4" s="1"/>
  <c r="D89" i="2" a="1"/>
  <c r="D89" i="2" s="1"/>
  <c r="D67" i="4" a="1"/>
  <c r="D67" i="4" s="1"/>
  <c r="D105" i="2" a="1"/>
  <c r="D105" i="2" s="1"/>
  <c r="D101" i="2" a="1"/>
  <c r="D101" i="2" s="1"/>
  <c r="D99" i="2" a="1"/>
  <c r="D99" i="2" s="1"/>
  <c r="D108" i="4" a="1"/>
  <c r="D108" i="4" s="1"/>
  <c r="D5" i="4" a="1"/>
  <c r="D5" i="4" s="1"/>
  <c r="D127" i="4" a="1"/>
  <c r="D127" i="4" s="1"/>
  <c r="D76" i="4" a="1"/>
  <c r="D76" i="4" s="1"/>
  <c r="D52" i="2" a="1"/>
  <c r="D52" i="2" s="1"/>
  <c r="D113" i="4" a="1"/>
  <c r="D113" i="4" s="1"/>
  <c r="D111" i="4" a="1"/>
  <c r="D111" i="4" s="1"/>
  <c r="D53" i="2" a="1"/>
  <c r="D53" i="2" s="1"/>
  <c r="D25" i="4" a="1"/>
  <c r="D25" i="4" s="1"/>
  <c r="D106" i="4" a="1"/>
  <c r="D106" i="4" s="1"/>
  <c r="D62" i="4" a="1"/>
  <c r="D62" i="4" s="1"/>
  <c r="D8" i="2" a="1"/>
  <c r="D8" i="2" s="1"/>
  <c r="D96" i="4" a="1"/>
  <c r="D96" i="4" s="1"/>
  <c r="D100" i="4" a="1"/>
  <c r="D100" i="4" s="1"/>
  <c r="D24" i="4" a="1"/>
  <c r="D24" i="4" s="1"/>
  <c r="D128" i="4" a="1"/>
  <c r="D128" i="4" s="1"/>
  <c r="D116" i="4" a="1"/>
  <c r="D116" i="4" s="1"/>
  <c r="D113" i="2" a="1"/>
  <c r="D113" i="2" s="1"/>
  <c r="D112" i="4" a="1"/>
  <c r="D112" i="4" s="1"/>
  <c r="D97" i="2" a="1"/>
  <c r="D97" i="2" s="1"/>
  <c r="D123" i="4" a="1"/>
  <c r="D123" i="4" s="1"/>
  <c r="D83" i="1" a="1"/>
  <c r="D83" i="1" s="1"/>
  <c r="D118" i="2" a="1"/>
  <c r="D118" i="2" s="1"/>
  <c r="D119" i="2" a="1"/>
  <c r="D119" i="2" s="1"/>
  <c r="D116" i="2" a="1"/>
  <c r="D116" i="2" s="1"/>
  <c r="D103" i="2" a="1"/>
  <c r="D103" i="2" s="1"/>
  <c r="D95" i="2" a="1"/>
  <c r="D95" i="2" s="1"/>
  <c r="D126" i="4" a="1"/>
  <c r="D126" i="4" s="1"/>
  <c r="D121" i="4" a="1"/>
  <c r="D121" i="4" s="1"/>
  <c r="D104" i="4" a="1"/>
  <c r="D104" i="4" s="1"/>
  <c r="D120" i="4" a="1"/>
  <c r="D120" i="4" s="1"/>
  <c r="D73" i="4" a="1"/>
  <c r="D73" i="4" s="1"/>
  <c r="D115" i="4" a="1"/>
  <c r="D115" i="4" s="1"/>
  <c r="D46" i="2" a="1"/>
  <c r="D46" i="2" s="1"/>
  <c r="D107" i="4" a="1"/>
  <c r="D107" i="4" s="1"/>
  <c r="D45" i="4" a="1"/>
  <c r="D45" i="4" s="1"/>
  <c r="D122" i="4" a="1"/>
  <c r="D122" i="4" s="1"/>
  <c r="D100" i="2" a="1"/>
  <c r="D100" i="2" s="1"/>
  <c r="D136" i="4" a="1"/>
  <c r="D136" i="4" s="1"/>
  <c r="D129" i="4" a="1"/>
  <c r="D129" i="4" s="1"/>
  <c r="D85" i="4" a="1"/>
  <c r="D85" i="4" s="1"/>
  <c r="D131" i="4" a="1"/>
  <c r="D131" i="4" s="1"/>
  <c r="D65" i="1" a="1"/>
  <c r="D65" i="1" s="1"/>
  <c r="D48" i="4" a="1"/>
  <c r="D48" i="4" s="1"/>
  <c r="D98" i="2" a="1"/>
  <c r="D98" i="2" s="1"/>
  <c r="D109" i="2" a="1"/>
  <c r="D109" i="2" s="1"/>
  <c r="D30" i="4" a="1"/>
  <c r="D30" i="4" s="1"/>
  <c r="D119" i="4" a="1"/>
  <c r="D119" i="4" s="1"/>
  <c r="D39" i="2" a="1"/>
  <c r="D39" i="2" s="1"/>
  <c r="D45" i="2" a="1"/>
  <c r="D45" i="2" s="1"/>
  <c r="D7" i="2" a="1"/>
  <c r="D7" i="2" s="1"/>
  <c r="D17" i="4" a="1"/>
  <c r="D17" i="4" s="1"/>
  <c r="D13" i="2" a="1"/>
  <c r="D13" i="2" s="1"/>
  <c r="D57" i="4" a="1"/>
  <c r="D57" i="4" s="1"/>
  <c r="D99" i="4" a="1"/>
  <c r="D99" i="4" s="1"/>
  <c r="D118" i="4" a="1"/>
  <c r="D118" i="4" s="1"/>
  <c r="D114" i="4" a="1"/>
  <c r="D114" i="4" s="1"/>
  <c r="D94" i="2" a="1"/>
  <c r="D94" i="2" s="1"/>
  <c r="D111" i="2" a="1"/>
  <c r="D111" i="2" s="1"/>
  <c r="D105" i="4" a="1"/>
  <c r="D105" i="4" s="1"/>
  <c r="D96" i="2" a="1"/>
  <c r="D96" i="2" s="1"/>
  <c r="D102" i="2" a="1"/>
  <c r="D102" i="2" s="1"/>
  <c r="D51" i="2" a="1"/>
  <c r="D51" i="2" s="1"/>
  <c r="D44" i="2" a="1"/>
  <c r="D44" i="2" s="1"/>
  <c r="D79" i="1" a="1"/>
  <c r="D79" i="1" s="1"/>
  <c r="D19" i="4" a="1"/>
  <c r="D19" i="4" s="1"/>
  <c r="D13" i="4" a="1"/>
  <c r="D13" i="4" s="1"/>
  <c r="D78" i="4" a="1"/>
  <c r="D78" i="4" s="1"/>
  <c r="D49" i="4" a="1"/>
  <c r="D49" i="4" s="1"/>
  <c r="D6" i="4" a="1"/>
  <c r="D6" i="4" s="1"/>
  <c r="D82" i="4" a="1"/>
  <c r="D82" i="4" s="1"/>
  <c r="D22" i="4" a="1"/>
  <c r="D22" i="4" s="1"/>
  <c r="D65" i="4" a="1"/>
  <c r="D65" i="4" s="1"/>
  <c r="D84" i="4" a="1"/>
  <c r="D84" i="4" s="1"/>
  <c r="D94" i="4" a="1"/>
  <c r="D94" i="4" s="1"/>
  <c r="D11" i="4" a="1"/>
  <c r="D11" i="4" s="1"/>
  <c r="D8" i="4" a="1"/>
  <c r="D8" i="4" s="1"/>
  <c r="D31" i="4" a="1"/>
  <c r="D31" i="4" s="1"/>
  <c r="D93" i="4" a="1"/>
  <c r="D93" i="4" s="1"/>
  <c r="D77" i="4" a="1"/>
  <c r="D77" i="4" s="1"/>
  <c r="D61" i="4" a="1"/>
  <c r="D61" i="4" s="1"/>
  <c r="D21" i="4" a="1"/>
  <c r="D21" i="4" s="1"/>
  <c r="D66" i="4" a="1"/>
  <c r="D66" i="4" s="1"/>
  <c r="D10" i="4" a="1"/>
  <c r="D10" i="4" s="1"/>
  <c r="D50" i="4" a="1"/>
  <c r="D50" i="4" s="1"/>
  <c r="D75" i="4" a="1"/>
  <c r="D75" i="4" s="1"/>
  <c r="D32" i="4" a="1"/>
  <c r="D32" i="4" s="1"/>
  <c r="D60" i="4" a="1"/>
  <c r="D60" i="4" s="1"/>
  <c r="D88" i="4" a="1"/>
  <c r="D88" i="4" s="1"/>
  <c r="D9" i="4" a="1"/>
  <c r="D9" i="4" s="1"/>
  <c r="D29" i="4" a="1"/>
  <c r="D29" i="4" s="1"/>
  <c r="D97" i="4" a="1"/>
  <c r="D97" i="4" s="1"/>
  <c r="D83" i="4" a="1"/>
  <c r="D83" i="4" s="1"/>
  <c r="D26" i="4" a="1"/>
  <c r="D26" i="4" s="1"/>
  <c r="D12" i="4" a="1"/>
  <c r="D12" i="4" s="1"/>
  <c r="D54" i="4" a="1"/>
  <c r="D54" i="4" s="1"/>
  <c r="D38" i="4" a="1"/>
  <c r="D38" i="4" s="1"/>
  <c r="D64" i="4" a="1"/>
  <c r="D64" i="4" s="1"/>
  <c r="D98" i="4" a="1"/>
  <c r="D98" i="4" s="1"/>
  <c r="D91" i="4" a="1"/>
  <c r="D91" i="4" s="1"/>
  <c r="D53" i="4" a="1"/>
  <c r="D53" i="4" s="1"/>
  <c r="D101" i="4" a="1"/>
  <c r="D101" i="4" s="1"/>
  <c r="D95" i="4" a="1"/>
  <c r="D95" i="4" s="1"/>
  <c r="D23" i="4" a="1"/>
  <c r="D23" i="4" s="1"/>
  <c r="D71" i="4" a="1"/>
  <c r="D71" i="4" s="1"/>
  <c r="D27" i="4" a="1"/>
  <c r="D27" i="4" s="1"/>
  <c r="D58" i="4" a="1"/>
  <c r="D58" i="4" s="1"/>
  <c r="D33" i="4" a="1"/>
  <c r="D33" i="4" s="1"/>
  <c r="D40" i="4" a="1"/>
  <c r="D40" i="4" s="1"/>
  <c r="D81" i="4" a="1"/>
  <c r="D81" i="4" s="1"/>
  <c r="D80" i="4" a="1"/>
  <c r="D80" i="4" s="1"/>
  <c r="D46" i="4" a="1"/>
  <c r="D46" i="4" s="1"/>
  <c r="D37" i="4" a="1"/>
  <c r="D37" i="4" s="1"/>
  <c r="D44" i="4" a="1"/>
  <c r="D44" i="4" s="1"/>
  <c r="D68" i="4" a="1"/>
  <c r="D68" i="4" s="1"/>
  <c r="D92" i="4" a="1"/>
  <c r="D92" i="4" s="1"/>
  <c r="D34" i="4" a="1"/>
  <c r="D34" i="4" s="1"/>
  <c r="D43" i="4" a="1"/>
  <c r="D43" i="4" s="1"/>
  <c r="D55" i="4" a="1"/>
  <c r="D55" i="4" s="1"/>
  <c r="D79" i="4" a="1"/>
  <c r="D79" i="4" s="1"/>
  <c r="D18" i="4" a="1"/>
  <c r="D18" i="4" s="1"/>
  <c r="D42" i="4" a="1"/>
  <c r="D42" i="4" s="1"/>
  <c r="D90" i="4" a="1"/>
  <c r="D90" i="4" s="1"/>
  <c r="D89" i="4" a="1"/>
  <c r="D89" i="4" s="1"/>
  <c r="D74" i="4" a="1"/>
  <c r="D74" i="4" s="1"/>
  <c r="D12" i="3" a="1"/>
  <c r="D12" i="3" s="1"/>
  <c r="D11" i="3" a="1"/>
  <c r="D11" i="3" s="1"/>
  <c r="D31" i="3" a="1"/>
  <c r="D31" i="3" s="1"/>
  <c r="D13" i="3" a="1"/>
  <c r="D13" i="3" s="1"/>
  <c r="D27" i="3" a="1"/>
  <c r="D27" i="3" s="1"/>
  <c r="D4" i="3" a="1"/>
  <c r="D4" i="3" s="1"/>
  <c r="D5" i="3" a="1"/>
  <c r="D5" i="3" s="1"/>
  <c r="D48" i="3" a="1"/>
  <c r="D48" i="3" s="1"/>
  <c r="D32" i="3" a="1"/>
  <c r="D32" i="3" s="1"/>
  <c r="D42" i="3" a="1"/>
  <c r="D42" i="3" s="1"/>
  <c r="D76" i="3" a="1"/>
  <c r="D76" i="3" s="1"/>
  <c r="D6" i="3" a="1"/>
  <c r="D6" i="3" s="1"/>
  <c r="D8" i="3" a="1"/>
  <c r="D8" i="3" s="1"/>
  <c r="D17" i="3" a="1"/>
  <c r="D17" i="3" s="1"/>
  <c r="D7" i="3" a="1"/>
  <c r="D7" i="3" s="1"/>
  <c r="D78" i="3" a="1"/>
  <c r="D78" i="3" s="1"/>
  <c r="D33" i="3" a="1"/>
  <c r="D33" i="3" s="1"/>
  <c r="D45" i="3" a="1"/>
  <c r="D45" i="3" s="1"/>
  <c r="D23" i="3" a="1"/>
  <c r="D23" i="3" s="1"/>
  <c r="D18" i="3" a="1"/>
  <c r="D18" i="3" s="1"/>
  <c r="D9" i="3" a="1"/>
  <c r="D9" i="3" s="1"/>
  <c r="D73" i="3" a="1"/>
  <c r="D73" i="3" s="1"/>
  <c r="D49" i="3" a="1"/>
  <c r="D49" i="3" s="1"/>
  <c r="D77" i="3" a="1"/>
  <c r="D77" i="3" s="1"/>
  <c r="D82" i="3" a="1"/>
  <c r="D82" i="3" s="1"/>
  <c r="D21" i="3" a="1"/>
  <c r="D21" i="3" s="1"/>
  <c r="D65" i="3" a="1"/>
  <c r="D65" i="3" s="1"/>
  <c r="D20" i="3" a="1"/>
  <c r="D20" i="3" s="1"/>
  <c r="D64" i="3" a="1"/>
  <c r="D64" i="3" s="1"/>
  <c r="D86" i="3" a="1"/>
  <c r="D86" i="3" s="1"/>
  <c r="D44" i="3" a="1"/>
  <c r="D44" i="3" s="1"/>
  <c r="D68" i="3" a="1"/>
  <c r="D68" i="3" s="1"/>
  <c r="D22" i="3" a="1"/>
  <c r="D22" i="3" s="1"/>
  <c r="D66" i="3" a="1"/>
  <c r="D66" i="3" s="1"/>
  <c r="D29" i="3" a="1"/>
  <c r="D29" i="3" s="1"/>
  <c r="D26" i="3" a="1"/>
  <c r="D26" i="3" s="1"/>
  <c r="D62" i="3" a="1"/>
  <c r="D62" i="3" s="1"/>
  <c r="D87" i="3" a="1"/>
  <c r="D87" i="3" s="1"/>
  <c r="D79" i="3" a="1"/>
  <c r="D79" i="3" s="1"/>
  <c r="D72" i="3" a="1"/>
  <c r="D72" i="3" s="1"/>
  <c r="D92" i="3" a="1"/>
  <c r="D92" i="3" s="1"/>
  <c r="D59" i="3" a="1"/>
  <c r="D59" i="3" s="1"/>
  <c r="D36" i="3" a="1"/>
  <c r="D36" i="3" s="1"/>
  <c r="D41" i="3" a="1"/>
  <c r="D41" i="3" s="1"/>
  <c r="D89" i="3" a="1"/>
  <c r="D89" i="3" s="1"/>
  <c r="D30" i="3" a="1"/>
  <c r="D30" i="3" s="1"/>
  <c r="D93" i="3" a="1"/>
  <c r="D93" i="3" s="1"/>
  <c r="D34" i="3" a="1"/>
  <c r="D34" i="3" s="1"/>
  <c r="D60" i="3" a="1"/>
  <c r="D60" i="3" s="1"/>
  <c r="D19" i="3" a="1"/>
  <c r="D19" i="3" s="1"/>
  <c r="D96" i="3" a="1"/>
  <c r="D96" i="3" s="1"/>
  <c r="D90" i="3" a="1"/>
  <c r="D90" i="3" s="1"/>
  <c r="D24" i="3" a="1"/>
  <c r="D24" i="3" s="1"/>
  <c r="D85" i="3" a="1"/>
  <c r="D85" i="3" s="1"/>
  <c r="D43" i="3" a="1"/>
  <c r="D43" i="3" s="1"/>
  <c r="D83" i="3" a="1"/>
  <c r="D83" i="3" s="1"/>
  <c r="D99" i="3" a="1"/>
  <c r="D99" i="3" s="1"/>
  <c r="D63" i="3" a="1"/>
  <c r="D63" i="3" s="1"/>
  <c r="D28" i="3" a="1"/>
  <c r="D28" i="3" s="1"/>
  <c r="D50" i="3" a="1"/>
  <c r="D50" i="3" s="1"/>
  <c r="D98" i="3" a="1"/>
  <c r="D98" i="3" s="1"/>
  <c r="D54" i="3" a="1"/>
  <c r="D54" i="3" s="1"/>
  <c r="D95" i="3" a="1"/>
  <c r="D95" i="3" s="1"/>
  <c r="D39" i="3" a="1"/>
  <c r="D39" i="3" s="1"/>
  <c r="D38" i="3" a="1"/>
  <c r="D38" i="3" s="1"/>
  <c r="D15" i="3" a="1"/>
  <c r="D15" i="3" s="1"/>
  <c r="D16" i="3" a="1"/>
  <c r="D16" i="3" s="1"/>
  <c r="D10" i="3" a="1"/>
  <c r="D10" i="3" s="1"/>
  <c r="D37" i="3" a="1"/>
  <c r="D37" i="3" s="1"/>
  <c r="D69" i="3" a="1"/>
  <c r="D69" i="3" s="1"/>
  <c r="D56" i="3" a="1"/>
  <c r="D56" i="3" s="1"/>
  <c r="D57" i="3" a="1"/>
  <c r="D57" i="3" s="1"/>
  <c r="D40" i="3" a="1"/>
  <c r="D40" i="3" s="1"/>
  <c r="D80" i="3" a="1"/>
  <c r="D80" i="3" s="1"/>
  <c r="D55" i="3" a="1"/>
  <c r="D55" i="3" s="1"/>
  <c r="D97" i="3" a="1"/>
  <c r="D97" i="3" s="1"/>
  <c r="D74" i="3" a="1"/>
  <c r="D74" i="3" s="1"/>
  <c r="D100" i="3" a="1"/>
  <c r="D100" i="3" s="1"/>
  <c r="D52" i="3" a="1"/>
  <c r="D52" i="3" s="1"/>
  <c r="D88" i="3" a="1"/>
  <c r="D88" i="3" s="1"/>
  <c r="D84" i="3" a="1"/>
  <c r="D84" i="3" s="1"/>
  <c r="D67" i="3" a="1"/>
  <c r="D67" i="3" s="1"/>
  <c r="D70" i="3" a="1"/>
  <c r="D70" i="3" s="1"/>
  <c r="D94" i="3" a="1"/>
  <c r="D94" i="3" s="1"/>
  <c r="D91" i="3" a="1"/>
  <c r="D91" i="3" s="1"/>
  <c r="D14" i="3" a="1"/>
  <c r="D14" i="3" s="1"/>
  <c r="D35" i="3" a="1"/>
  <c r="D35" i="3" s="1"/>
  <c r="D47" i="3" a="1"/>
  <c r="D47" i="3" s="1"/>
  <c r="D53" i="3" a="1"/>
  <c r="D53" i="3" s="1"/>
  <c r="D71" i="3" a="1"/>
  <c r="D71" i="3" s="1"/>
  <c r="D25" i="3" a="1"/>
  <c r="D25" i="3" s="1"/>
  <c r="D101" i="3" a="1"/>
  <c r="D101" i="3" s="1"/>
  <c r="D46" i="3" a="1"/>
  <c r="D46" i="3" s="1"/>
  <c r="D58" i="3" a="1"/>
  <c r="D58" i="3" s="1"/>
  <c r="D51" i="3" a="1"/>
  <c r="D51" i="3" s="1"/>
  <c r="D75" i="3" a="1"/>
  <c r="D75" i="3" s="1"/>
  <c r="D81" i="3" a="1"/>
  <c r="D81" i="3" s="1"/>
  <c r="D61" i="3" a="1"/>
  <c r="D61" i="3" s="1"/>
  <c r="D29" i="2" a="1"/>
  <c r="D29" i="2" s="1"/>
  <c r="D37" i="2" a="1"/>
  <c r="D37" i="2" s="1"/>
  <c r="D24" i="2" a="1"/>
  <c r="D24" i="2" s="1"/>
  <c r="D58" i="2" a="1"/>
  <c r="D58" i="2" s="1"/>
  <c r="D79" i="2" a="1"/>
  <c r="D79" i="2" s="1"/>
  <c r="D57" i="2" a="1"/>
  <c r="D57" i="2" s="1"/>
  <c r="D86" i="2" a="1"/>
  <c r="D86" i="2" s="1"/>
  <c r="D16" i="2" a="1"/>
  <c r="D16" i="2" s="1"/>
  <c r="D23" i="2" a="1"/>
  <c r="D23" i="2" s="1"/>
  <c r="D4" i="2" a="1"/>
  <c r="D4" i="2" s="1"/>
  <c r="D85" i="2" a="1"/>
  <c r="D85" i="2" s="1"/>
  <c r="D76" i="2" a="1"/>
  <c r="D76" i="2" s="1"/>
  <c r="D92" i="2" a="1"/>
  <c r="D92" i="2" s="1"/>
  <c r="D17" i="2" a="1"/>
  <c r="D17" i="2" s="1"/>
  <c r="D11" i="2" a="1"/>
  <c r="D11" i="2" s="1"/>
  <c r="D5" i="2" a="1"/>
  <c r="D5" i="2" s="1"/>
  <c r="D28" i="2" a="1"/>
  <c r="D28" i="2" s="1"/>
  <c r="D91" i="2" a="1"/>
  <c r="D91" i="2" s="1"/>
  <c r="D83" i="2" a="1"/>
  <c r="D83" i="2" s="1"/>
  <c r="D77" i="2" a="1"/>
  <c r="D77" i="2" s="1"/>
  <c r="D35" i="2" a="1"/>
  <c r="D35" i="2" s="1"/>
  <c r="D59" i="2" a="1"/>
  <c r="D59" i="2" s="1"/>
  <c r="D67" i="2" a="1"/>
  <c r="D67" i="2" s="1"/>
  <c r="D25" i="2" a="1"/>
  <c r="D25" i="2" s="1"/>
  <c r="D33" i="2" a="1"/>
  <c r="D33" i="2" s="1"/>
  <c r="D82" i="2" a="1"/>
  <c r="D82" i="2" s="1"/>
  <c r="D36" i="2" a="1"/>
  <c r="D36" i="2" s="1"/>
  <c r="D84" i="2" a="1"/>
  <c r="D84" i="2" s="1"/>
  <c r="D22" i="2" a="1"/>
  <c r="D22" i="2" s="1"/>
  <c r="D81" i="2" a="1"/>
  <c r="D81" i="2" s="1"/>
  <c r="D88" i="2" a="1"/>
  <c r="D88" i="2" s="1"/>
  <c r="D60" i="2" a="1"/>
  <c r="D60" i="2" s="1"/>
  <c r="D71" i="2" a="1"/>
  <c r="D71" i="2" s="1"/>
  <c r="D66" i="2" a="1"/>
  <c r="D66" i="2" s="1"/>
  <c r="D26" i="2" a="1"/>
  <c r="D26" i="2" s="1"/>
  <c r="D55" i="2" a="1"/>
  <c r="D55" i="2" s="1"/>
  <c r="D70" i="2" a="1"/>
  <c r="D70" i="2" s="1"/>
  <c r="D47" i="2" a="1"/>
  <c r="D47" i="2" s="1"/>
  <c r="D68" i="2" a="1"/>
  <c r="D68" i="2" s="1"/>
  <c r="D15" i="2" a="1"/>
  <c r="D15" i="2" s="1"/>
  <c r="D41" i="2" a="1"/>
  <c r="D41" i="2" s="1"/>
  <c r="D20" i="2" a="1"/>
  <c r="D20" i="2" s="1"/>
  <c r="D65" i="2" a="1"/>
  <c r="D65" i="2" s="1"/>
  <c r="D30" i="2" a="1"/>
  <c r="D30" i="2" s="1"/>
  <c r="D34" i="2" a="1"/>
  <c r="D34" i="2" s="1"/>
  <c r="D78" i="2" a="1"/>
  <c r="D78" i="2" s="1"/>
  <c r="D90" i="2" a="1"/>
  <c r="D90" i="2" s="1"/>
  <c r="D38" i="2" a="1"/>
  <c r="D38" i="2" s="1"/>
  <c r="D54" i="2" a="1"/>
  <c r="D54" i="2" s="1"/>
  <c r="D40" i="2" a="1"/>
  <c r="D40" i="2" s="1"/>
  <c r="D9" i="2" a="1"/>
  <c r="D9" i="2" s="1"/>
  <c r="D21" i="2" a="1"/>
  <c r="D21" i="2" s="1"/>
  <c r="D27" i="2" a="1"/>
  <c r="D27" i="2" s="1"/>
  <c r="D63" i="2" a="1"/>
  <c r="D63" i="2" s="1"/>
  <c r="D69" i="2" a="1"/>
  <c r="D69" i="2" s="1"/>
  <c r="D75" i="2" a="1"/>
  <c r="D75" i="2" s="1"/>
  <c r="D87" i="2" a="1"/>
  <c r="D87" i="2" s="1"/>
  <c r="D14" i="2" a="1"/>
  <c r="D14" i="2" s="1"/>
  <c r="D32" i="2" a="1"/>
  <c r="D32" i="2" s="1"/>
  <c r="D50" i="2" a="1"/>
  <c r="D50" i="2" s="1"/>
  <c r="D62" i="2" a="1"/>
  <c r="D62" i="2" s="1"/>
  <c r="D74" i="2" a="1"/>
  <c r="D74" i="2" s="1"/>
  <c r="D80" i="2" a="1"/>
  <c r="D80" i="2" s="1"/>
  <c r="D19" i="2" a="1"/>
  <c r="D19" i="2" s="1"/>
  <c r="D31" i="2" a="1"/>
  <c r="D31" i="2" s="1"/>
  <c r="D43" i="2" a="1"/>
  <c r="D43" i="2" s="1"/>
  <c r="D49" i="2" a="1"/>
  <c r="D49" i="2" s="1"/>
  <c r="D61" i="2" a="1"/>
  <c r="D61" i="2" s="1"/>
  <c r="D12" i="2" a="1"/>
  <c r="D12" i="2" s="1"/>
  <c r="D48" i="2" a="1"/>
  <c r="D48" i="2" s="1"/>
  <c r="D72" i="2" a="1"/>
  <c r="D72" i="2" s="1"/>
  <c r="D57" i="1" a="1"/>
  <c r="D57" i="1" s="1"/>
  <c r="D56" i="1" a="1"/>
  <c r="D56" i="1" s="1"/>
  <c r="D86" i="1" a="1"/>
  <c r="D86" i="1" s="1"/>
  <c r="D21" i="1" a="1"/>
  <c r="D21" i="1" s="1"/>
  <c r="D78" i="1" a="1"/>
  <c r="D78" i="1" s="1"/>
  <c r="D85" i="1" a="1"/>
  <c r="D85" i="1" s="1"/>
  <c r="D45" i="1" a="1"/>
  <c r="D45" i="1" s="1"/>
  <c r="D44" i="1" a="1"/>
  <c r="D44" i="1" s="1"/>
  <c r="D39" i="1" a="1"/>
  <c r="D39" i="1" s="1"/>
  <c r="D29" i="1" a="1"/>
  <c r="D29" i="1" s="1"/>
  <c r="D41" i="1" a="1"/>
  <c r="D41" i="1" s="1"/>
  <c r="D60" i="1" a="1"/>
  <c r="D60" i="1" s="1"/>
  <c r="D42" i="1" a="1"/>
  <c r="D42" i="1" s="1"/>
  <c r="D26" i="1" a="1"/>
  <c r="D26" i="1" s="1"/>
  <c r="D4" i="1" a="1"/>
  <c r="D4" i="1" s="1"/>
  <c r="D46" i="1" a="1"/>
  <c r="D46" i="1" s="1"/>
  <c r="D28" i="1" a="1"/>
  <c r="D28" i="1" s="1"/>
  <c r="D35" i="1" a="1"/>
  <c r="D35" i="1" s="1"/>
  <c r="D36" i="1" a="1"/>
  <c r="D36" i="1" s="1"/>
  <c r="D66" i="1" a="1"/>
  <c r="D66" i="1" s="1"/>
  <c r="D6" i="1" a="1"/>
  <c r="D6" i="1" s="1"/>
  <c r="D23" i="1" a="1"/>
  <c r="D23" i="1" s="1"/>
  <c r="D9" i="1" a="1"/>
  <c r="D9" i="1" s="1"/>
  <c r="D87" i="1" a="1"/>
  <c r="D87" i="1" s="1"/>
  <c r="D92" i="1" a="1"/>
  <c r="D92" i="1" s="1"/>
  <c r="D90" i="1" a="1"/>
  <c r="D90" i="1" s="1"/>
  <c r="D19" i="1" a="1"/>
  <c r="D19" i="1" s="1"/>
  <c r="D67" i="1" a="1"/>
  <c r="D67" i="1" s="1"/>
  <c r="D71" i="1" a="1"/>
  <c r="D71" i="1" s="1"/>
  <c r="D63" i="1" a="1"/>
  <c r="D63" i="1" s="1"/>
  <c r="D59" i="1" a="1"/>
  <c r="D59" i="1" s="1"/>
  <c r="D55" i="1" a="1"/>
  <c r="D55" i="1" s="1"/>
  <c r="D38" i="1" a="1"/>
  <c r="D38" i="1" s="1"/>
  <c r="D17" i="1" a="1"/>
  <c r="D17" i="1" s="1"/>
  <c r="D58" i="1" a="1"/>
  <c r="D58" i="1" s="1"/>
  <c r="D81" i="1" a="1"/>
  <c r="D81" i="1" s="1"/>
  <c r="D76" i="1" a="1"/>
  <c r="D76" i="1" s="1"/>
  <c r="D50" i="1" a="1"/>
  <c r="D50" i="1" s="1"/>
  <c r="D37" i="1" a="1"/>
  <c r="D37" i="1" s="1"/>
  <c r="D14" i="1" a="1"/>
  <c r="D14" i="1" s="1"/>
  <c r="D40" i="1" a="1"/>
  <c r="D40" i="1" s="1"/>
  <c r="D27" i="1" a="1"/>
  <c r="D27" i="1" s="1"/>
  <c r="D53" i="1" a="1"/>
  <c r="D53" i="1" s="1"/>
  <c r="D70" i="1" a="1"/>
  <c r="D70" i="1" s="1"/>
  <c r="D24" i="1" a="1"/>
  <c r="D24" i="1" s="1"/>
  <c r="D11" i="1" a="1"/>
  <c r="D11" i="1" s="1"/>
  <c r="D61" i="1" a="1"/>
  <c r="D61" i="1" s="1"/>
  <c r="D5" i="1" a="1"/>
  <c r="D5" i="1" s="1"/>
  <c r="D89" i="1" a="1"/>
  <c r="D89" i="1" s="1"/>
  <c r="D73" i="1" a="1"/>
  <c r="D73" i="1" s="1"/>
  <c r="D16" i="1" a="1"/>
  <c r="D16" i="1" s="1"/>
  <c r="D15" i="1" a="1"/>
  <c r="D15" i="1" s="1"/>
  <c r="D12" i="1" a="1"/>
  <c r="D12" i="1" s="1"/>
  <c r="D20" i="1" a="1"/>
  <c r="D20" i="1" s="1"/>
  <c r="D34" i="1" a="1"/>
  <c r="D34" i="1" s="1"/>
  <c r="D88" i="1" a="1"/>
  <c r="D88" i="1" s="1"/>
  <c r="D68" i="1" a="1"/>
  <c r="D68" i="1" s="1"/>
  <c r="D33" i="1" a="1"/>
  <c r="D33" i="1" s="1"/>
  <c r="D7" i="1" a="1"/>
  <c r="D7" i="1" s="1"/>
  <c r="D49" i="1" a="1"/>
  <c r="D49" i="1" s="1"/>
  <c r="D77" i="1" a="1"/>
  <c r="D77" i="1" s="1"/>
  <c r="D75" i="1" a="1"/>
  <c r="D75" i="1" s="1"/>
  <c r="D64" i="1" a="1"/>
  <c r="D64" i="1" s="1"/>
  <c r="D54" i="1" a="1"/>
  <c r="D54" i="1" s="1"/>
  <c r="D43" i="1" a="1"/>
  <c r="D43" i="1" s="1"/>
  <c r="D84" i="1" a="1"/>
  <c r="D84" i="1" s="1"/>
  <c r="D74" i="1" a="1"/>
  <c r="D74" i="1" s="1"/>
  <c r="D22" i="1" a="1"/>
  <c r="D22" i="1" s="1"/>
  <c r="D13" i="1" a="1"/>
  <c r="D13" i="1" s="1"/>
  <c r="D62" i="1" a="1"/>
  <c r="D62" i="1" s="1"/>
  <c r="D52" i="1" a="1"/>
  <c r="D52" i="1" s="1"/>
  <c r="D32" i="1" a="1"/>
  <c r="D32" i="1" s="1"/>
  <c r="D82" i="1" a="1"/>
  <c r="D82" i="1" s="1"/>
  <c r="D72" i="1" a="1"/>
  <c r="D72" i="1" s="1"/>
  <c r="D31" i="1" a="1"/>
  <c r="D31" i="1" s="1"/>
  <c r="D51" i="1" a="1"/>
  <c r="D51" i="1" s="1"/>
  <c r="D30" i="1" a="1"/>
  <c r="D30" i="1" s="1"/>
  <c r="D10" i="1" a="1"/>
  <c r="D10" i="1" s="1"/>
  <c r="D91" i="1" a="1"/>
  <c r="D91" i="1" s="1"/>
  <c r="D80" i="1" a="1"/>
  <c r="D80" i="1" s="1"/>
  <c r="D18" i="1" a="1"/>
  <c r="D18" i="1" s="1"/>
  <c r="D69" i="1" a="1"/>
  <c r="D69" i="1" s="1"/>
  <c r="D48" i="1" a="1"/>
  <c r="D48" i="1" s="1"/>
  <c r="D47" i="1" a="1"/>
  <c r="D4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<sst xmlns="http://schemas.openxmlformats.org/spreadsheetml/2006/main" count="3194" uniqueCount="914">
  <si>
    <t>DIBELLONIA</t>
  </si>
  <si>
    <t>ELISA</t>
  </si>
  <si>
    <t>Club</t>
  </si>
  <si>
    <t>Deportivo</t>
  </si>
  <si>
    <t>Natación</t>
  </si>
  <si>
    <t>Aldaia</t>
  </si>
  <si>
    <t>GOMEZ</t>
  </si>
  <si>
    <t>MESIAS</t>
  </si>
  <si>
    <t>ALBA</t>
  </si>
  <si>
    <t>Salvamento</t>
  </si>
  <si>
    <t>Arteixo</t>
  </si>
  <si>
    <t>-</t>
  </si>
  <si>
    <t>SALVAR</t>
  </si>
  <si>
    <t>FEIJOO</t>
  </si>
  <si>
    <t>GÓMEZ</t>
  </si>
  <si>
    <t>EVA</t>
  </si>
  <si>
    <t>Acuatico</t>
  </si>
  <si>
    <t>Ourense</t>
  </si>
  <si>
    <t>SALVOUR</t>
  </si>
  <si>
    <t>PLANA</t>
  </si>
  <si>
    <t>NAVIO</t>
  </si>
  <si>
    <t>PAULA</t>
  </si>
  <si>
    <t>Natació</t>
  </si>
  <si>
    <t>Banyoles</t>
  </si>
  <si>
    <t>GANADO</t>
  </si>
  <si>
    <t>AMADOR</t>
  </si>
  <si>
    <t>CAROLINA</t>
  </si>
  <si>
    <t>y</t>
  </si>
  <si>
    <t>Socorrismo</t>
  </si>
  <si>
    <t>Benavente</t>
  </si>
  <si>
    <t>SANTOS</t>
  </si>
  <si>
    <t>MARTINEZ</t>
  </si>
  <si>
    <t>SANDRA</t>
  </si>
  <si>
    <t>Oca</t>
  </si>
  <si>
    <t>S.O.S</t>
  </si>
  <si>
    <t>RODRÍGUEZ</t>
  </si>
  <si>
    <t>BOSCH</t>
  </si>
  <si>
    <t>LAURA</t>
  </si>
  <si>
    <t>MANTECON</t>
  </si>
  <si>
    <t>RUIZ-SANTAQUITERIA</t>
  </si>
  <si>
    <t>YAEL</t>
  </si>
  <si>
    <t>C.</t>
  </si>
  <si>
    <t>D.</t>
  </si>
  <si>
    <t>SOS</t>
  </si>
  <si>
    <t>La</t>
  </si>
  <si>
    <t>Bañeza</t>
  </si>
  <si>
    <t>COLOM</t>
  </si>
  <si>
    <t>ESCOTS</t>
  </si>
  <si>
    <t>CARLOTTA</t>
  </si>
  <si>
    <t>REMUZGO</t>
  </si>
  <si>
    <t>COSMOS</t>
  </si>
  <si>
    <t>Silla</t>
  </si>
  <si>
    <t>GONZALEZ</t>
  </si>
  <si>
    <t>MEGIA</t>
  </si>
  <si>
    <t>PATRICIA</t>
  </si>
  <si>
    <t>Guadalajara</t>
  </si>
  <si>
    <t>MONTALVO</t>
  </si>
  <si>
    <t>BIENVENIDO</t>
  </si>
  <si>
    <t>ALEJANDRA</t>
  </si>
  <si>
    <t>GARCÍA</t>
  </si>
  <si>
    <t>RECIO</t>
  </si>
  <si>
    <t>CLAUDIA</t>
  </si>
  <si>
    <t>Alcarreño</t>
  </si>
  <si>
    <t>de</t>
  </si>
  <si>
    <t>CARMONA</t>
  </si>
  <si>
    <t>MASERGAS</t>
  </si>
  <si>
    <t>IVET</t>
  </si>
  <si>
    <t>FREIXAS</t>
  </si>
  <si>
    <t>TORRENT</t>
  </si>
  <si>
    <t>BLANCA</t>
  </si>
  <si>
    <t>CABANILLAS</t>
  </si>
  <si>
    <t>RODRIGUEZ</t>
  </si>
  <si>
    <t>NATALIA</t>
  </si>
  <si>
    <t>HERNANDEZ</t>
  </si>
  <si>
    <t>ZOE</t>
  </si>
  <si>
    <t>Albasit</t>
  </si>
  <si>
    <t>VALIENTE</t>
  </si>
  <si>
    <t>FLORES</t>
  </si>
  <si>
    <t>ANNE</t>
  </si>
  <si>
    <t>Asociación</t>
  </si>
  <si>
    <t>Deportiva</t>
  </si>
  <si>
    <t>Cáceres</t>
  </si>
  <si>
    <t>PALOMINO</t>
  </si>
  <si>
    <t>RAFFO</t>
  </si>
  <si>
    <t>NOA</t>
  </si>
  <si>
    <t>SASTRE</t>
  </si>
  <si>
    <t>QUEMADA</t>
  </si>
  <si>
    <t>IRENE</t>
  </si>
  <si>
    <t>Laguna</t>
  </si>
  <si>
    <t>BOLADO</t>
  </si>
  <si>
    <t>ABASCAL</t>
  </si>
  <si>
    <t>Sos</t>
  </si>
  <si>
    <t>Pielagos</t>
  </si>
  <si>
    <t>Playas</t>
  </si>
  <si>
    <t>Cantabria</t>
  </si>
  <si>
    <t>ORTEGA</t>
  </si>
  <si>
    <t>GUZMAN</t>
  </si>
  <si>
    <t>MAYI</t>
  </si>
  <si>
    <t>Oriol</t>
  </si>
  <si>
    <t>Imperial</t>
  </si>
  <si>
    <t>CASTAÑO</t>
  </si>
  <si>
    <t>CASTAÑEIRAS</t>
  </si>
  <si>
    <t>HERGUEDAS</t>
  </si>
  <si>
    <t>ADRIANA</t>
  </si>
  <si>
    <t>Reus</t>
  </si>
  <si>
    <t>Ploms</t>
  </si>
  <si>
    <t>PORRAS</t>
  </si>
  <si>
    <t>MARINA</t>
  </si>
  <si>
    <t>A.C.N.</t>
  </si>
  <si>
    <t>Marisma</t>
  </si>
  <si>
    <t>BLAS</t>
  </si>
  <si>
    <t>DIAZ</t>
  </si>
  <si>
    <t>LUCIA</t>
  </si>
  <si>
    <t>ESPADA</t>
  </si>
  <si>
    <t>RADIO</t>
  </si>
  <si>
    <t>NOEMÍ</t>
  </si>
  <si>
    <t>Vilagarcía</t>
  </si>
  <si>
    <t>AREVALO</t>
  </si>
  <si>
    <t>VELASCO</t>
  </si>
  <si>
    <t>BERTA</t>
  </si>
  <si>
    <t>Multideporte</t>
  </si>
  <si>
    <t>Valladolid</t>
  </si>
  <si>
    <t>TOUCEDA</t>
  </si>
  <si>
    <t>LOURIDO</t>
  </si>
  <si>
    <t>NARANJO</t>
  </si>
  <si>
    <t>VIUDEZ</t>
  </si>
  <si>
    <t>ABALO</t>
  </si>
  <si>
    <t>GALBÁN</t>
  </si>
  <si>
    <t>NAIRA</t>
  </si>
  <si>
    <t>MORENO</t>
  </si>
  <si>
    <t>CORTES</t>
  </si>
  <si>
    <t>TANIA</t>
  </si>
  <si>
    <t>PRADAS</t>
  </si>
  <si>
    <t>MEDINA</t>
  </si>
  <si>
    <t>LOPEZ</t>
  </si>
  <si>
    <t>LEONOR</t>
  </si>
  <si>
    <t>MOURELLE</t>
  </si>
  <si>
    <t>PENA</t>
  </si>
  <si>
    <t>CARLA</t>
  </si>
  <si>
    <t>Carballo</t>
  </si>
  <si>
    <t>SYSCA</t>
  </si>
  <si>
    <t>GARCIA</t>
  </si>
  <si>
    <t>NAVARRO</t>
  </si>
  <si>
    <t>SVAT</t>
  </si>
  <si>
    <t>Tarancón</t>
  </si>
  <si>
    <t>VIM</t>
  </si>
  <si>
    <t>RAMIÓ</t>
  </si>
  <si>
    <t>ÈLIA</t>
  </si>
  <si>
    <t>COSTA</t>
  </si>
  <si>
    <t>SANCHEZ</t>
  </si>
  <si>
    <t>MIRAVET</t>
  </si>
  <si>
    <t>SERRANO</t>
  </si>
  <si>
    <t>ANGELA</t>
  </si>
  <si>
    <t>Bétera</t>
  </si>
  <si>
    <t>RAMOS</t>
  </si>
  <si>
    <t>CABEZAS</t>
  </si>
  <si>
    <t>BEATRIZ</t>
  </si>
  <si>
    <t>Dragones</t>
  </si>
  <si>
    <t>LLANOS</t>
  </si>
  <si>
    <t>LAS</t>
  </si>
  <si>
    <t>DOBLE</t>
  </si>
  <si>
    <t>AFONSO</t>
  </si>
  <si>
    <t>Real</t>
  </si>
  <si>
    <t>Náutico</t>
  </si>
  <si>
    <t>Tenerife</t>
  </si>
  <si>
    <t>TAGLE</t>
  </si>
  <si>
    <t>ANDREA</t>
  </si>
  <si>
    <t>Castro</t>
  </si>
  <si>
    <t>Urdiales</t>
  </si>
  <si>
    <t>IBAÑEZ</t>
  </si>
  <si>
    <t>NEREA</t>
  </si>
  <si>
    <t>C.D.E</t>
  </si>
  <si>
    <t>Pacífico</t>
  </si>
  <si>
    <t>IBÁÑEZ</t>
  </si>
  <si>
    <t>GONZÁLEZ</t>
  </si>
  <si>
    <t>CAMPO</t>
  </si>
  <si>
    <t>BLANCO</t>
  </si>
  <si>
    <t>AZAÑON</t>
  </si>
  <si>
    <t>VIEJO</t>
  </si>
  <si>
    <t>ALVIR</t>
  </si>
  <si>
    <t>DOMINGUEZ-BLANCO</t>
  </si>
  <si>
    <t>MARÍN</t>
  </si>
  <si>
    <t>VEGA</t>
  </si>
  <si>
    <t>MARTÍNEZ</t>
  </si>
  <si>
    <t>SONIA</t>
  </si>
  <si>
    <t>GILABERT</t>
  </si>
  <si>
    <t>FERNANDEZ</t>
  </si>
  <si>
    <t>LAIA</t>
  </si>
  <si>
    <t>Salou</t>
  </si>
  <si>
    <t>SAIZ</t>
  </si>
  <si>
    <t>RODERO</t>
  </si>
  <si>
    <t>MICHELLE</t>
  </si>
  <si>
    <t>CORES</t>
  </si>
  <si>
    <t>VAZQUEZ</t>
  </si>
  <si>
    <t>MARIÑA</t>
  </si>
  <si>
    <t>ARAGÓN</t>
  </si>
  <si>
    <t>LIA</t>
  </si>
  <si>
    <t>Talasa</t>
  </si>
  <si>
    <t>Torremolinos</t>
  </si>
  <si>
    <t>JIMENEZ</t>
  </si>
  <si>
    <t>ELSA</t>
  </si>
  <si>
    <t>CAMPANARIO</t>
  </si>
  <si>
    <t>CASTILLO</t>
  </si>
  <si>
    <t>GABRIELA</t>
  </si>
  <si>
    <t>LIDIA</t>
  </si>
  <si>
    <t>CONTRERAS</t>
  </si>
  <si>
    <t>CHOVGANYUK</t>
  </si>
  <si>
    <t>MARTA</t>
  </si>
  <si>
    <t>SIRVENT</t>
  </si>
  <si>
    <t>RUIZ</t>
  </si>
  <si>
    <t>Leucante</t>
  </si>
  <si>
    <t>CANTERO</t>
  </si>
  <si>
    <t>JARA</t>
  </si>
  <si>
    <t>TENAGUILLO</t>
  </si>
  <si>
    <t>ROMERO</t>
  </si>
  <si>
    <t>MANZANARES</t>
  </si>
  <si>
    <t>ERIKA</t>
  </si>
  <si>
    <t>ARJONA</t>
  </si>
  <si>
    <t>ARMERO</t>
  </si>
  <si>
    <t>IGLESIAS</t>
  </si>
  <si>
    <t>CUADRADO</t>
  </si>
  <si>
    <t>LEIRE</t>
  </si>
  <si>
    <t>GRIMALDOS</t>
  </si>
  <si>
    <t>IZQUIERDO</t>
  </si>
  <si>
    <t>DIANA</t>
  </si>
  <si>
    <t>AMORES</t>
  </si>
  <si>
    <t>CORDOBA</t>
  </si>
  <si>
    <t>SELENE</t>
  </si>
  <si>
    <t>BERMAL</t>
  </si>
  <si>
    <t>PADILLA</t>
  </si>
  <si>
    <t>Rhinos</t>
  </si>
  <si>
    <t>Ciudad</t>
  </si>
  <si>
    <t>FRANCOS</t>
  </si>
  <si>
    <t>MANRIQUE</t>
  </si>
  <si>
    <t>ANE</t>
  </si>
  <si>
    <t>SAMPEDRO</t>
  </si>
  <si>
    <t>AINHARA</t>
  </si>
  <si>
    <t>Unión</t>
  </si>
  <si>
    <t>Esgueva</t>
  </si>
  <si>
    <t>SOSVA</t>
  </si>
  <si>
    <t>FARIÑA</t>
  </si>
  <si>
    <t>CARMEN</t>
  </si>
  <si>
    <t>Acuático</t>
  </si>
  <si>
    <t>Umia</t>
  </si>
  <si>
    <t>CARRERA</t>
  </si>
  <si>
    <t>GUERRERO</t>
  </si>
  <si>
    <t>ALEXIA</t>
  </si>
  <si>
    <t>QUILES</t>
  </si>
  <si>
    <t>MARTIN</t>
  </si>
  <si>
    <t>MARA</t>
  </si>
  <si>
    <t>BROTONS</t>
  </si>
  <si>
    <t>CRISTINA</t>
  </si>
  <si>
    <t>Red</t>
  </si>
  <si>
    <t>Mar</t>
  </si>
  <si>
    <t>Top</t>
  </si>
  <si>
    <t>Ten</t>
  </si>
  <si>
    <t>Alicante</t>
  </si>
  <si>
    <t>FERNÁNDEZ</t>
  </si>
  <si>
    <t>OLIVA</t>
  </si>
  <si>
    <t>DIAZ-REGAÑON</t>
  </si>
  <si>
    <t>NAROA</t>
  </si>
  <si>
    <t>MATE</t>
  </si>
  <si>
    <t>NAVAS</t>
  </si>
  <si>
    <t>SOFIA</t>
  </si>
  <si>
    <t>Baja</t>
  </si>
  <si>
    <t>CUERVO</t>
  </si>
  <si>
    <t>TARRATS</t>
  </si>
  <si>
    <t>PLANAS</t>
  </si>
  <si>
    <t>JANA</t>
  </si>
  <si>
    <t>VALDERREY</t>
  </si>
  <si>
    <t>PEREZ</t>
  </si>
  <si>
    <t>MARIA</t>
  </si>
  <si>
    <t>PAYOLA</t>
  </si>
  <si>
    <t>ANGLADA</t>
  </si>
  <si>
    <t>NURIA</t>
  </si>
  <si>
    <t>CARRACEDO</t>
  </si>
  <si>
    <t>CERRATO</t>
  </si>
  <si>
    <t>TRIANA</t>
  </si>
  <si>
    <t>Extrema</t>
  </si>
  <si>
    <t>JORGE</t>
  </si>
  <si>
    <t>NORA</t>
  </si>
  <si>
    <t>Descalificado</t>
  </si>
  <si>
    <t>Orden</t>
  </si>
  <si>
    <t>Apellido1</t>
  </si>
  <si>
    <t>Apellido2</t>
  </si>
  <si>
    <t>Nombre</t>
  </si>
  <si>
    <t>Año</t>
  </si>
  <si>
    <t>Tiempo1</t>
  </si>
  <si>
    <t>Tiempo2</t>
  </si>
  <si>
    <t>Puntos</t>
  </si>
  <si>
    <t>DE LA ARENA</t>
  </si>
  <si>
    <t>DA COSTA</t>
  </si>
  <si>
    <t>DE LAS HERAS</t>
  </si>
  <si>
    <t>DEL CASTILLO</t>
  </si>
  <si>
    <t>Descalificado 1</t>
  </si>
  <si>
    <t>No Presentado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</si>
  <si>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</si>
  <si>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</si>
  <si>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</si>
  <si>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</si>
  <si>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</si>
  <si>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</si>
  <si>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</si>
  <si>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</si>
  <si>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clubFórmula</t>
  </si>
  <si>
    <t>Categoría</t>
  </si>
  <si>
    <t>CORONADO</t>
  </si>
  <si>
    <t>TEJEDA</t>
  </si>
  <si>
    <t>CARLOS</t>
  </si>
  <si>
    <t>PARDO</t>
  </si>
  <si>
    <t>ORTIZ</t>
  </si>
  <si>
    <t>JOAQUÍN</t>
  </si>
  <si>
    <t>Camargo</t>
  </si>
  <si>
    <t>RAYNAUD</t>
  </si>
  <si>
    <t>MATHIS</t>
  </si>
  <si>
    <t>VICENTE</t>
  </si>
  <si>
    <t>FERREIRA</t>
  </si>
  <si>
    <t>YAGO</t>
  </si>
  <si>
    <t>MARCOS</t>
  </si>
  <si>
    <t>BALSA</t>
  </si>
  <si>
    <t>VIGO</t>
  </si>
  <si>
    <t>JAVIER</t>
  </si>
  <si>
    <t>VALENCIANO</t>
  </si>
  <si>
    <t>MIGUELEZ</t>
  </si>
  <si>
    <t>HUGO</t>
  </si>
  <si>
    <t>REVILLA</t>
  </si>
  <si>
    <t>LLAMAS</t>
  </si>
  <si>
    <t>GUILLERMO</t>
  </si>
  <si>
    <t>CAPLLONCH</t>
  </si>
  <si>
    <t>ISMAEL</t>
  </si>
  <si>
    <t>PIÑAN</t>
  </si>
  <si>
    <t>GALLEGUILLOS</t>
  </si>
  <si>
    <t>DAVID</t>
  </si>
  <si>
    <t>CALVO</t>
  </si>
  <si>
    <t>ARES</t>
  </si>
  <si>
    <t>CUESTA</t>
  </si>
  <si>
    <t>ESTEBAN</t>
  </si>
  <si>
    <t>JAIME</t>
  </si>
  <si>
    <t>YUNTA</t>
  </si>
  <si>
    <t>CANTARERO</t>
  </si>
  <si>
    <t>ISAAC</t>
  </si>
  <si>
    <t>Guardavidas</t>
  </si>
  <si>
    <t>Cuenca</t>
  </si>
  <si>
    <t>FIGUEIRAS</t>
  </si>
  <si>
    <t>PEDRO</t>
  </si>
  <si>
    <t>MOLLINEDO</t>
  </si>
  <si>
    <t>MONCHO</t>
  </si>
  <si>
    <t>PAU</t>
  </si>
  <si>
    <t>LÓPEZ</t>
  </si>
  <si>
    <t>CHRISTIAN</t>
  </si>
  <si>
    <t>TORRES</t>
  </si>
  <si>
    <t>MARTÍN</t>
  </si>
  <si>
    <t>PABLO</t>
  </si>
  <si>
    <t>BASTANTE</t>
  </si>
  <si>
    <t>ALBERTO</t>
  </si>
  <si>
    <t>C</t>
  </si>
  <si>
    <t>l</t>
  </si>
  <si>
    <t>u</t>
  </si>
  <si>
    <t>b</t>
  </si>
  <si>
    <t>TEMSSAMANI</t>
  </si>
  <si>
    <t>FAHD</t>
  </si>
  <si>
    <t>FONTANA</t>
  </si>
  <si>
    <t>CENTELLES</t>
  </si>
  <si>
    <t>MIGUEL</t>
  </si>
  <si>
    <t>VILAGRAN</t>
  </si>
  <si>
    <t>BLAI</t>
  </si>
  <si>
    <t>RODRIGO</t>
  </si>
  <si>
    <t>ZORNOZA</t>
  </si>
  <si>
    <t>VILLOLDO</t>
  </si>
  <si>
    <t>ALEJANDRO</t>
  </si>
  <si>
    <t>lu</t>
  </si>
  <si>
    <t>TELLO</t>
  </si>
  <si>
    <t>IAN</t>
  </si>
  <si>
    <t>LAVANDEIRA</t>
  </si>
  <si>
    <t>AMADO</t>
  </si>
  <si>
    <t>ÁLVARO</t>
  </si>
  <si>
    <t>CARBALLAL</t>
  </si>
  <si>
    <t>MANUEL</t>
  </si>
  <si>
    <t>A</t>
  </si>
  <si>
    <t>Estrada</t>
  </si>
  <si>
    <t>YAHYIOUI</t>
  </si>
  <si>
    <t>JAGHNINE</t>
  </si>
  <si>
    <t>OTHMAN</t>
  </si>
  <si>
    <t>PASTOR</t>
  </si>
  <si>
    <t>PAJARES</t>
  </si>
  <si>
    <t>ENRIQUE</t>
  </si>
  <si>
    <t>CARBALLEDA</t>
  </si>
  <si>
    <t>ABEIJÓN</t>
  </si>
  <si>
    <t>ANDRÉS</t>
  </si>
  <si>
    <t>TOURÍS</t>
  </si>
  <si>
    <t>ANXO</t>
  </si>
  <si>
    <t>MUSTÉ</t>
  </si>
  <si>
    <t>RAMÍREZ</t>
  </si>
  <si>
    <t>JOAN</t>
  </si>
  <si>
    <t>ALVAREZ</t>
  </si>
  <si>
    <t>ACERON</t>
  </si>
  <si>
    <t>LEO</t>
  </si>
  <si>
    <t>SÁNCHEZ</t>
  </si>
  <si>
    <t>ALVARO</t>
  </si>
  <si>
    <t>MESÍAS</t>
  </si>
  <si>
    <t>COMPANY</t>
  </si>
  <si>
    <t>CASTELLANOS</t>
  </si>
  <si>
    <t>ADRIÁN</t>
  </si>
  <si>
    <t>.</t>
  </si>
  <si>
    <t>D</t>
  </si>
  <si>
    <t>E</t>
  </si>
  <si>
    <t>SALINAS</t>
  </si>
  <si>
    <t>GIMÉNEZ</t>
  </si>
  <si>
    <t>NEO</t>
  </si>
  <si>
    <t>IZARA</t>
  </si>
  <si>
    <t>LARO</t>
  </si>
  <si>
    <t>ANDRADE</t>
  </si>
  <si>
    <t>FRAILE</t>
  </si>
  <si>
    <t>AITOR</t>
  </si>
  <si>
    <t>GIL</t>
  </si>
  <si>
    <t>VICENT</t>
  </si>
  <si>
    <t>PIQUERAS</t>
  </si>
  <si>
    <t>MÍGUEZ</t>
  </si>
  <si>
    <t>ARITZ</t>
  </si>
  <si>
    <t>PALAZUELO</t>
  </si>
  <si>
    <t>TOLA</t>
  </si>
  <si>
    <t>DIEGO</t>
  </si>
  <si>
    <t>IÑIGUEZ</t>
  </si>
  <si>
    <t>UNAI</t>
  </si>
  <si>
    <t>ALMENDROS</t>
  </si>
  <si>
    <t>DÍAZ</t>
  </si>
  <si>
    <t>ARTIDIELLO</t>
  </si>
  <si>
    <t>IYAN</t>
  </si>
  <si>
    <t>JUAN</t>
  </si>
  <si>
    <t>ROIG</t>
  </si>
  <si>
    <t>JAUME</t>
  </si>
  <si>
    <t>MIGUEL ÁNGEL</t>
  </si>
  <si>
    <t>SAN FERMIN</t>
  </si>
  <si>
    <t>EL GHMARI</t>
  </si>
  <si>
    <t>DE UÑA</t>
  </si>
  <si>
    <t>SAN JOSE</t>
  </si>
  <si>
    <t>MATEO</t>
  </si>
  <si>
    <t>TRUNIN</t>
  </si>
  <si>
    <t>DUBITA</t>
  </si>
  <si>
    <t>DANIEL</t>
  </si>
  <si>
    <t>SERGIO</t>
  </si>
  <si>
    <t>DIEZ</t>
  </si>
  <si>
    <t>ASIER</t>
  </si>
  <si>
    <t>AGUADO</t>
  </si>
  <si>
    <t>MENDEZ</t>
  </si>
  <si>
    <t>CABERO</t>
  </si>
  <si>
    <t>VIDAL</t>
  </si>
  <si>
    <t>GALLARDO</t>
  </si>
  <si>
    <t>PADRINO</t>
  </si>
  <si>
    <t>AARON</t>
  </si>
  <si>
    <t>FERRANDIZ</t>
  </si>
  <si>
    <t>POLO</t>
  </si>
  <si>
    <t>ROBERTO</t>
  </si>
  <si>
    <t>PAZ</t>
  </si>
  <si>
    <t>BUGALLO</t>
  </si>
  <si>
    <t>ROI</t>
  </si>
  <si>
    <t>MORALEDA</t>
  </si>
  <si>
    <t>ERIK</t>
  </si>
  <si>
    <t>CASTRO</t>
  </si>
  <si>
    <t>DURO</t>
  </si>
  <si>
    <t>XOEL</t>
  </si>
  <si>
    <t>RUBIO</t>
  </si>
  <si>
    <t>MORA</t>
  </si>
  <si>
    <t>VICTOR</t>
  </si>
  <si>
    <t>CHACON</t>
  </si>
  <si>
    <t>VILARCHAO</t>
  </si>
  <si>
    <t>C.D.B.</t>
  </si>
  <si>
    <t>Vallecas</t>
  </si>
  <si>
    <t>PÉREZ</t>
  </si>
  <si>
    <t>ARIAS</t>
  </si>
  <si>
    <t>IÑAKI</t>
  </si>
  <si>
    <t>CAMPOS</t>
  </si>
  <si>
    <t>FABIAN</t>
  </si>
  <si>
    <t>PAREJA</t>
  </si>
  <si>
    <t>UTRERO</t>
  </si>
  <si>
    <t>BECARES</t>
  </si>
  <si>
    <t>HUERGA</t>
  </si>
  <si>
    <t>PLAZA</t>
  </si>
  <si>
    <t>HANNIBAL</t>
  </si>
  <si>
    <t>BUSONS</t>
  </si>
  <si>
    <t>OLIVARES</t>
  </si>
  <si>
    <t>SANTIAGO</t>
  </si>
  <si>
    <t>GASCÓ</t>
  </si>
  <si>
    <t>FRESNEDA</t>
  </si>
  <si>
    <t>CARLES</t>
  </si>
  <si>
    <t>ROMAN</t>
  </si>
  <si>
    <t>ADRIAN</t>
  </si>
  <si>
    <t>INIESTA</t>
  </si>
  <si>
    <t>CARREÑO</t>
  </si>
  <si>
    <t>LUCAS</t>
  </si>
  <si>
    <t>NEGREIRA</t>
  </si>
  <si>
    <t>Santa</t>
  </si>
  <si>
    <t>Comba</t>
  </si>
  <si>
    <t>LB</t>
  </si>
  <si>
    <t>PS</t>
  </si>
  <si>
    <t>Water</t>
  </si>
  <si>
    <t>Benidorm</t>
  </si>
  <si>
    <t>CEDRÉS</t>
  </si>
  <si>
    <t>YANES</t>
  </si>
  <si>
    <t>EDUARDO</t>
  </si>
  <si>
    <t>CASADO</t>
  </si>
  <si>
    <t>RUDILLA</t>
  </si>
  <si>
    <t>ANGEL</t>
  </si>
  <si>
    <t>MORIN</t>
  </si>
  <si>
    <t>TORRALBO</t>
  </si>
  <si>
    <t>RAUL</t>
  </si>
  <si>
    <t>ESPARCIA</t>
  </si>
  <si>
    <t>DYACHENKO</t>
  </si>
  <si>
    <t>SOPESENS</t>
  </si>
  <si>
    <t>TARACENA</t>
  </si>
  <si>
    <t>Stadium</t>
  </si>
  <si>
    <t>Venecia</t>
  </si>
  <si>
    <t>PAYÁ</t>
  </si>
  <si>
    <t>TIRAPU</t>
  </si>
  <si>
    <t>RAFAEL</t>
  </si>
  <si>
    <t>MANZANO</t>
  </si>
  <si>
    <t>FRANCO</t>
  </si>
  <si>
    <t>ANIBAL</t>
  </si>
  <si>
    <t>LAGE</t>
  </si>
  <si>
    <t>GUIMIL</t>
  </si>
  <si>
    <t>DAMIÁN</t>
  </si>
  <si>
    <t>CAVADA</t>
  </si>
  <si>
    <t>CHAPARTEGUI</t>
  </si>
  <si>
    <t>TARANILLA</t>
  </si>
  <si>
    <t>ANDONI</t>
  </si>
  <si>
    <t>MINGUILLÁN</t>
  </si>
  <si>
    <t>VICENTI</t>
  </si>
  <si>
    <t>IVÁN</t>
  </si>
  <si>
    <t>CUAIRÁN</t>
  </si>
  <si>
    <t>GARAY</t>
  </si>
  <si>
    <t>RETAMAL</t>
  </si>
  <si>
    <t>GONZALO</t>
  </si>
  <si>
    <t>REQUENA</t>
  </si>
  <si>
    <t>ROMEU</t>
  </si>
  <si>
    <t>OSCAR</t>
  </si>
  <si>
    <t>Sirenas</t>
  </si>
  <si>
    <t>Catarroja</t>
  </si>
  <si>
    <t>AGUDO</t>
  </si>
  <si>
    <t>Amics</t>
  </si>
  <si>
    <t>Riudoms</t>
  </si>
  <si>
    <t>ACOSTA</t>
  </si>
  <si>
    <t>COLCHON</t>
  </si>
  <si>
    <t>MARIO</t>
  </si>
  <si>
    <t>ABRAHAM</t>
  </si>
  <si>
    <t>FUENTES</t>
  </si>
  <si>
    <t>VERDEJO</t>
  </si>
  <si>
    <t>CAÑADA</t>
  </si>
  <si>
    <t>LORCA</t>
  </si>
  <si>
    <t>MICO</t>
  </si>
  <si>
    <t>CARBONELL</t>
  </si>
  <si>
    <t>SEMESHKO</t>
  </si>
  <si>
    <t>MERAYO</t>
  </si>
  <si>
    <t>VIDIELLA</t>
  </si>
  <si>
    <t>PRIETO</t>
  </si>
  <si>
    <t>RUBENS</t>
  </si>
  <si>
    <t>PASCUAL</t>
  </si>
  <si>
    <t>CERVERA</t>
  </si>
  <si>
    <t>GOMEZ DE AGÜERO</t>
  </si>
  <si>
    <t>DE LAS PEÑAS</t>
  </si>
  <si>
    <t>Descalificado 10</t>
  </si>
  <si>
    <t>VICARIO</t>
  </si>
  <si>
    <t>NAZARET</t>
  </si>
  <si>
    <t>Actividades</t>
  </si>
  <si>
    <t>Acuáticas</t>
  </si>
  <si>
    <t>Calatayud</t>
  </si>
  <si>
    <t>REJANO</t>
  </si>
  <si>
    <t>FLOR</t>
  </si>
  <si>
    <t>Escuela</t>
  </si>
  <si>
    <t>Almendralejo</t>
  </si>
  <si>
    <t>VEIGA</t>
  </si>
  <si>
    <t>AGUEROS</t>
  </si>
  <si>
    <t>FATIMA</t>
  </si>
  <si>
    <t>Loredo</t>
  </si>
  <si>
    <t>Surf</t>
  </si>
  <si>
    <t>Life</t>
  </si>
  <si>
    <t>Saving</t>
  </si>
  <si>
    <t>MARTINA</t>
  </si>
  <si>
    <t>PENSADO</t>
  </si>
  <si>
    <t>ANA</t>
  </si>
  <si>
    <t>FERRE</t>
  </si>
  <si>
    <t>VERONICA</t>
  </si>
  <si>
    <t>RAMIREZ</t>
  </si>
  <si>
    <t>MARÍA</t>
  </si>
  <si>
    <t>QUINTERO</t>
  </si>
  <si>
    <t>KATIHUSCA</t>
  </si>
  <si>
    <t>Martiánez</t>
  </si>
  <si>
    <t>Coral</t>
  </si>
  <si>
    <t>Hotels</t>
  </si>
  <si>
    <t>JURADO-SALMERON</t>
  </si>
  <si>
    <t>LEYRE</t>
  </si>
  <si>
    <t>HERRERO</t>
  </si>
  <si>
    <t>GÜÉMEZ</t>
  </si>
  <si>
    <t>JIMÉNEZ</t>
  </si>
  <si>
    <t>M.PIEDAD</t>
  </si>
  <si>
    <t>ANDRES</t>
  </si>
  <si>
    <t>BERNAL</t>
  </si>
  <si>
    <t>C.D</t>
  </si>
  <si>
    <t>Grados</t>
  </si>
  <si>
    <t>GUILLEN</t>
  </si>
  <si>
    <t>JARVIS</t>
  </si>
  <si>
    <t>ROCIO</t>
  </si>
  <si>
    <t>PICAZO</t>
  </si>
  <si>
    <t>Máster</t>
  </si>
  <si>
    <t>Arganda</t>
  </si>
  <si>
    <t>GUINJOAN</t>
  </si>
  <si>
    <t>SARA</t>
  </si>
  <si>
    <t>PAREDES</t>
  </si>
  <si>
    <t>DEBORAH</t>
  </si>
  <si>
    <t>ROMERA</t>
  </si>
  <si>
    <t>GALLINA</t>
  </si>
  <si>
    <t>SORAYA</t>
  </si>
  <si>
    <t>BUSH</t>
  </si>
  <si>
    <t>CAPARROS</t>
  </si>
  <si>
    <t>ELENA</t>
  </si>
  <si>
    <t>GUTIERREZ</t>
  </si>
  <si>
    <t>NOELIA</t>
  </si>
  <si>
    <t>PEÑA</t>
  </si>
  <si>
    <t>ANNA</t>
  </si>
  <si>
    <t>REPARAZ</t>
  </si>
  <si>
    <t>AMAIA</t>
  </si>
  <si>
    <t>VEGUILLAS</t>
  </si>
  <si>
    <t>SALVADOR</t>
  </si>
  <si>
    <t>BETLEM</t>
  </si>
  <si>
    <t>MOTA</t>
  </si>
  <si>
    <t>LETICIA</t>
  </si>
  <si>
    <t>LESLIE</t>
  </si>
  <si>
    <t>KARINA</t>
  </si>
  <si>
    <t>LUNA</t>
  </si>
  <si>
    <t>C.A.</t>
  </si>
  <si>
    <t>Teleno</t>
  </si>
  <si>
    <t>NIETO</t>
  </si>
  <si>
    <t>AGUSTINA</t>
  </si>
  <si>
    <t>TRILLO</t>
  </si>
  <si>
    <t>Sada</t>
  </si>
  <si>
    <t>SASA</t>
  </si>
  <si>
    <t>RACE</t>
  </si>
  <si>
    <t>CAMEAN</t>
  </si>
  <si>
    <t>MIRIAM</t>
  </si>
  <si>
    <t>ESTER</t>
  </si>
  <si>
    <t>GEMA</t>
  </si>
  <si>
    <t>MÓNICA</t>
  </si>
  <si>
    <t>COLMENERO</t>
  </si>
  <si>
    <t>ALICIA</t>
  </si>
  <si>
    <t>MATO</t>
  </si>
  <si>
    <t>BELEN</t>
  </si>
  <si>
    <t>ALONSO</t>
  </si>
  <si>
    <t>LARA</t>
  </si>
  <si>
    <t>YOLANDA</t>
  </si>
  <si>
    <t>ARANZAZU</t>
  </si>
  <si>
    <t>Los</t>
  </si>
  <si>
    <t>Locos</t>
  </si>
  <si>
    <t>ARAUJO</t>
  </si>
  <si>
    <t>LOZANO</t>
  </si>
  <si>
    <t>BUENO</t>
  </si>
  <si>
    <t>PENELLA</t>
  </si>
  <si>
    <t>ROSARIO</t>
  </si>
  <si>
    <t>GUIL</t>
  </si>
  <si>
    <t>MAYO</t>
  </si>
  <si>
    <t>LÁZARO</t>
  </si>
  <si>
    <t>BEGOÑA</t>
  </si>
  <si>
    <t>CONCEPCION</t>
  </si>
  <si>
    <t>LIZ</t>
  </si>
  <si>
    <t>FATOU</t>
  </si>
  <si>
    <t>ESCRIBANO</t>
  </si>
  <si>
    <t>MARUENDA</t>
  </si>
  <si>
    <t>San</t>
  </si>
  <si>
    <t>Vicente</t>
  </si>
  <si>
    <t>ALFAGEME</t>
  </si>
  <si>
    <t>MAR</t>
  </si>
  <si>
    <t>GASALLA</t>
  </si>
  <si>
    <t>SOBRADO</t>
  </si>
  <si>
    <t>LAGUILLO</t>
  </si>
  <si>
    <t>PARALED</t>
  </si>
  <si>
    <t>MERITXELL</t>
  </si>
  <si>
    <t>VALCARCE</t>
  </si>
  <si>
    <t>JESUS</t>
  </si>
  <si>
    <t>ARRIBAS</t>
  </si>
  <si>
    <t>TARRERO</t>
  </si>
  <si>
    <t>EMMA</t>
  </si>
  <si>
    <t>COLOMO</t>
  </si>
  <si>
    <t>BAEZA</t>
  </si>
  <si>
    <t>RUERA</t>
  </si>
  <si>
    <t>MACARENA</t>
  </si>
  <si>
    <t>HILLENIUS</t>
  </si>
  <si>
    <t>CATALINA</t>
  </si>
  <si>
    <t>FARGAS</t>
  </si>
  <si>
    <t>CARAL</t>
  </si>
  <si>
    <t>DE ALBA</t>
  </si>
  <si>
    <t>AMANDA ROCIO</t>
  </si>
  <si>
    <t>MARIA ANGELES</t>
  </si>
  <si>
    <t>DE DIEGO</t>
  </si>
  <si>
    <t>ANA MARIA</t>
  </si>
  <si>
    <t>MARIA DE GRACIA</t>
  </si>
  <si>
    <t>Mª DEL CARMEN</t>
  </si>
  <si>
    <t>MARIA JESUS</t>
  </si>
  <si>
    <t>MARIA TERESA</t>
  </si>
  <si>
    <t>MARIA ISABEL</t>
  </si>
  <si>
    <t>FERNANDEZ DE MISA</t>
  </si>
  <si>
    <t>GONZÁLEZ DE LA PEÑA</t>
  </si>
  <si>
    <t>MARIA REMEDIOS</t>
  </si>
  <si>
    <t>MARIA CARMEN</t>
  </si>
  <si>
    <t>SANDRA RAQUEL</t>
  </si>
  <si>
    <t>ANA ISABEL</t>
  </si>
  <si>
    <t>MARIA SONIA</t>
  </si>
  <si>
    <t>MARIA BELEN</t>
  </si>
  <si>
    <t>MARIA CRISTINA</t>
  </si>
  <si>
    <t>MARIA EMPAR</t>
  </si>
  <si>
    <t>MARIA VICTORIA</t>
  </si>
  <si>
    <t>MARÍA VICTORIA</t>
  </si>
  <si>
    <t>CLARA ISABEL</t>
  </si>
  <si>
    <t>EVA MARIA</t>
  </si>
  <si>
    <t>MARIA DEL CARMEN</t>
  </si>
  <si>
    <t>BARJOLLO</t>
  </si>
  <si>
    <t>MAGRO</t>
  </si>
  <si>
    <t>MAURICIO</t>
  </si>
  <si>
    <t>CRESPO</t>
  </si>
  <si>
    <t>OJEDA</t>
  </si>
  <si>
    <t>TENORIO</t>
  </si>
  <si>
    <t>FREIRE</t>
  </si>
  <si>
    <t>VÍCTOR</t>
  </si>
  <si>
    <t>C.D.E.</t>
  </si>
  <si>
    <t>Madrid</t>
  </si>
  <si>
    <t>Este</t>
  </si>
  <si>
    <t>BARROSO</t>
  </si>
  <si>
    <t>LUIS</t>
  </si>
  <si>
    <t>ARRANZ</t>
  </si>
  <si>
    <t>FONTELA</t>
  </si>
  <si>
    <t>PORTILLA</t>
  </si>
  <si>
    <t>CRUZ</t>
  </si>
  <si>
    <t>SIMÓN</t>
  </si>
  <si>
    <t>FORTE</t>
  </si>
  <si>
    <t>CLIMENT</t>
  </si>
  <si>
    <t>MIRALLES</t>
  </si>
  <si>
    <t>HERNAIZ</t>
  </si>
  <si>
    <t>HERRERIA</t>
  </si>
  <si>
    <t>LIAÑO</t>
  </si>
  <si>
    <t>FERNANDO</t>
  </si>
  <si>
    <t>RECUERO</t>
  </si>
  <si>
    <t>LLORENTE</t>
  </si>
  <si>
    <t>SALADO</t>
  </si>
  <si>
    <t>OLIVER</t>
  </si>
  <si>
    <t>ARANAZ</t>
  </si>
  <si>
    <t>PADRON</t>
  </si>
  <si>
    <t>ANTONIO</t>
  </si>
  <si>
    <t>DURANGO</t>
  </si>
  <si>
    <t>JONATHAN</t>
  </si>
  <si>
    <t>OUBIÑA</t>
  </si>
  <si>
    <t>RUBEN</t>
  </si>
  <si>
    <t>ROJANO</t>
  </si>
  <si>
    <t>JON</t>
  </si>
  <si>
    <t>VAQUERO</t>
  </si>
  <si>
    <t>SAGALÀ</t>
  </si>
  <si>
    <t>TRILLA</t>
  </si>
  <si>
    <t>ORUÑA</t>
  </si>
  <si>
    <t>ANDREU</t>
  </si>
  <si>
    <t>PUERTAS</t>
  </si>
  <si>
    <t>CARVAJAL</t>
  </si>
  <si>
    <t>BARAIBAR</t>
  </si>
  <si>
    <t>TRIBALDOS</t>
  </si>
  <si>
    <t>AQUILINO</t>
  </si>
  <si>
    <t>TADEO</t>
  </si>
  <si>
    <t>MARTOS</t>
  </si>
  <si>
    <t>JUAREZ</t>
  </si>
  <si>
    <t>SANTAFÉ</t>
  </si>
  <si>
    <t>FELIPE</t>
  </si>
  <si>
    <t>VARGA</t>
  </si>
  <si>
    <t>ATTILA</t>
  </si>
  <si>
    <t>TOBARRA</t>
  </si>
  <si>
    <t>TIJERO</t>
  </si>
  <si>
    <t>VALLEJO</t>
  </si>
  <si>
    <t>CESAR</t>
  </si>
  <si>
    <t>CREMADES</t>
  </si>
  <si>
    <t>COBO</t>
  </si>
  <si>
    <t>ALEGRE</t>
  </si>
  <si>
    <t>PROVEDO</t>
  </si>
  <si>
    <t>ALFREDO</t>
  </si>
  <si>
    <t>ZAPATA</t>
  </si>
  <si>
    <t>MONTERO</t>
  </si>
  <si>
    <t>BLÁZQUEZ</t>
  </si>
  <si>
    <t>MIÑO</t>
  </si>
  <si>
    <t>CALZADA</t>
  </si>
  <si>
    <t>TAMAYO</t>
  </si>
  <si>
    <t>CAMARERO</t>
  </si>
  <si>
    <t>ELISEO</t>
  </si>
  <si>
    <t>MACIAS</t>
  </si>
  <si>
    <t>RADA</t>
  </si>
  <si>
    <t>RETUERTA</t>
  </si>
  <si>
    <t>RAMIRO</t>
  </si>
  <si>
    <t>RUBÉN</t>
  </si>
  <si>
    <t>SUAREZ</t>
  </si>
  <si>
    <t>BERNARDO</t>
  </si>
  <si>
    <t>PINTO</t>
  </si>
  <si>
    <t>CEJAS</t>
  </si>
  <si>
    <t>TEGUAYCO</t>
  </si>
  <si>
    <t>PIQUERO</t>
  </si>
  <si>
    <t>ADRIANO</t>
  </si>
  <si>
    <t>EGUIA</t>
  </si>
  <si>
    <t>ODRIOZOLA</t>
  </si>
  <si>
    <t>JORDAN</t>
  </si>
  <si>
    <t>MENCHEN</t>
  </si>
  <si>
    <t>HECTOR</t>
  </si>
  <si>
    <t>MOLLA</t>
  </si>
  <si>
    <t>PLANELLS</t>
  </si>
  <si>
    <t>FRUCTUOSO</t>
  </si>
  <si>
    <t>SIERRA</t>
  </si>
  <si>
    <t>CANAL</t>
  </si>
  <si>
    <t>PIÑA</t>
  </si>
  <si>
    <t>LOUREIRO</t>
  </si>
  <si>
    <t>PEREDA</t>
  </si>
  <si>
    <t>VERDU</t>
  </si>
  <si>
    <t>GOSALBEZ</t>
  </si>
  <si>
    <t>RAMON</t>
  </si>
  <si>
    <t>CORDERO</t>
  </si>
  <si>
    <t>BARBERO</t>
  </si>
  <si>
    <t>VÁZQUEZ</t>
  </si>
  <si>
    <t>TRONCOSO</t>
  </si>
  <si>
    <t>JOSÉ</t>
  </si>
  <si>
    <t>DAVARA</t>
  </si>
  <si>
    <t>RICO</t>
  </si>
  <si>
    <t>HUELGA</t>
  </si>
  <si>
    <t>ARRIAGA</t>
  </si>
  <si>
    <t>MARQUEZ</t>
  </si>
  <si>
    <t>MARÍA-TOMÉ</t>
  </si>
  <si>
    <t>ABELLA</t>
  </si>
  <si>
    <t>GORDÓN</t>
  </si>
  <si>
    <t>PISÓN</t>
  </si>
  <si>
    <t>SORRIVAS</t>
  </si>
  <si>
    <t>ADAN</t>
  </si>
  <si>
    <t>GALAN</t>
  </si>
  <si>
    <t>CARPINTERO</t>
  </si>
  <si>
    <t>MARIANO</t>
  </si>
  <si>
    <t>JULIAN</t>
  </si>
  <si>
    <t>ALFONSO</t>
  </si>
  <si>
    <t>NEIRA</t>
  </si>
  <si>
    <t>CASTAÑEDA</t>
  </si>
  <si>
    <t>LAPRESA</t>
  </si>
  <si>
    <t>GRANÉ</t>
  </si>
  <si>
    <t>TERUEL</t>
  </si>
  <si>
    <t>GENER</t>
  </si>
  <si>
    <t>CEBRIAN</t>
  </si>
  <si>
    <t>BARRUFET</t>
  </si>
  <si>
    <t>ÁLVAREZ</t>
  </si>
  <si>
    <t>MELCHOR</t>
  </si>
  <si>
    <t>ALÍA</t>
  </si>
  <si>
    <t>MARTIJN</t>
  </si>
  <si>
    <t>LUIJTEN</t>
  </si>
  <si>
    <t>CASPAR</t>
  </si>
  <si>
    <t>PISO</t>
  </si>
  <si>
    <t>VELEZ</t>
  </si>
  <si>
    <t>BETHENCOURT</t>
  </si>
  <si>
    <t>MOLINA</t>
  </si>
  <si>
    <t>MINGARRO</t>
  </si>
  <si>
    <t>ÍÑIGO</t>
  </si>
  <si>
    <t>LAMA</t>
  </si>
  <si>
    <t>BERGADO</t>
  </si>
  <si>
    <t>NORBERTO</t>
  </si>
  <si>
    <t>LIBERAL</t>
  </si>
  <si>
    <t>MARCIAL</t>
  </si>
  <si>
    <t>CULEBRAS</t>
  </si>
  <si>
    <t>BRAULIO</t>
  </si>
  <si>
    <t>LLORCA</t>
  </si>
  <si>
    <t>GALLEGO</t>
  </si>
  <si>
    <t>CAGIGAL</t>
  </si>
  <si>
    <t>RICARDO</t>
  </si>
  <si>
    <t>GUTIÉRREZ-AMBROSSI</t>
  </si>
  <si>
    <t>ROBLES</t>
  </si>
  <si>
    <t>ARCONADA</t>
  </si>
  <si>
    <t>CHICHARRO</t>
  </si>
  <si>
    <t>ARDERIUS</t>
  </si>
  <si>
    <t>REYEROS</t>
  </si>
  <si>
    <t>DE FRUTOS</t>
  </si>
  <si>
    <t>LUIS DAVID</t>
  </si>
  <si>
    <t>VICTOR MANUEL</t>
  </si>
  <si>
    <t>GUILLERMO JAVIER</t>
  </si>
  <si>
    <t>JOSE VICTOR</t>
  </si>
  <si>
    <t>DEL CASTILLO OLIVARES</t>
  </si>
  <si>
    <t>PEDRO LUIS</t>
  </si>
  <si>
    <t>JOSE MANUEL</t>
  </si>
  <si>
    <t>JOSE ANTONIO</t>
  </si>
  <si>
    <t>DE LA VIESCA</t>
  </si>
  <si>
    <t>FRANCISCO JOSE</t>
  </si>
  <si>
    <t>CARLOS EUGENIO</t>
  </si>
  <si>
    <t>JUAN JOSE</t>
  </si>
  <si>
    <t>JUAN PABLO</t>
  </si>
  <si>
    <t>GUSTAVO ADOLFO</t>
  </si>
  <si>
    <t>DIEGO JULIO</t>
  </si>
  <si>
    <t>VICTOR FRANCISCO</t>
  </si>
  <si>
    <t>JOSE VICENTE</t>
  </si>
  <si>
    <t>FRANCISCO JAVIER</t>
  </si>
  <si>
    <t>DAVID JUAN</t>
  </si>
  <si>
    <t>MIGUEL ANGEL</t>
  </si>
  <si>
    <t>DEL BARRIO</t>
  </si>
  <si>
    <t>DEL AMO</t>
  </si>
  <si>
    <t>DE LA PLAZA</t>
  </si>
  <si>
    <t>MONTES DE NEIRA</t>
  </si>
  <si>
    <t>LUIS ALFREDO</t>
  </si>
  <si>
    <t>JOSE LUIS</t>
  </si>
  <si>
    <t>JUAN RAMÓN</t>
  </si>
  <si>
    <t>DE MANZANOS</t>
  </si>
  <si>
    <t>SÁNCHEZ DE LEÓN</t>
  </si>
  <si>
    <t>CARLOS DANIEL</t>
  </si>
  <si>
    <t>LUIS IGNACIO</t>
  </si>
  <si>
    <t>LUIS CARLOS</t>
  </si>
  <si>
    <t>JUAN ANTONIO</t>
  </si>
  <si>
    <t>SAN ROMAN</t>
  </si>
  <si>
    <t>JESUS VICENTE</t>
  </si>
  <si>
    <t>DE VICENTE</t>
  </si>
  <si>
    <t>LUIS ENRIQUE</t>
  </si>
  <si>
    <t>JESUS MARIA</t>
  </si>
  <si>
    <t>JOAQUIN MARTIN</t>
  </si>
  <si>
    <t>Máster Femenino</t>
  </si>
  <si>
    <t>Mayores Masculino</t>
  </si>
  <si>
    <t>Mayores Femenino</t>
  </si>
  <si>
    <t>Máster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</si>
</sst>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Oswald"/>
    </font>
    <font>
      <sz val="11"/>
      <color theme="1"/>
      <name val="Oswald"/>
    </font>
    <font>
      <b/>
      <sz val="10"/>
      <color theme="0"/>
      <name val="Roboto"/>
    </font>
    <font>
      <sz val="10"/>
      <color theme="1"/>
      <name val="Roboto"/>
    </font>
    <font>
      <sz val="10"/>
      <color theme="0"/>
      <name val="Roboto"/>
    </font>
    <font>
      <sz val="14"/>
      <color theme="1"/>
      <name val="Oswald Medium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0" fontId="4" fillId="2" borderId="1" xfId="0" applyFont="1" applyFill="1" applyBorder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0" xfId="0" applyFont="1" applyFill="1"/>
    <xf numFmtId="0" fontId="5" fillId="0" borderId="0" xfId="0" applyFont="1"/>
    <xf numFmtId="165" fontId="5" fillId="0" borderId="0" xfId="0" applyNumberFormat="1" applyFont="1"/>
    <xf numFmtId="0" fontId="5" fillId="0" borderId="0" xfId="0" applyFont="1" applyAlignment="1">
      <alignment wrapText="1"/>
    </xf>
    <xf numFmtId="0" fontId="6" fillId="2" borderId="1" xfId="0" applyFont="1" applyFill="1" applyBorder="1"/>
    <xf numFmtId="0" fontId="6" fillId="2" borderId="0" xfId="0" applyFont="1" applyFill="1" applyBorder="1"/>
    <xf numFmtId="0" fontId="6" fillId="2" borderId="2" xfId="0" applyFont="1" applyFill="1" applyBorder="1"/>
    <xf numFmtId="0" fontId="6" fillId="2" borderId="0" xfId="0" applyFont="1" applyFill="1"/>
    <xf numFmtId="21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122"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theme="4"/>
          <bgColor theme="4"/>
        </patternFill>
      </fill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 val="0"/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sz val="10"/>
        <name val="Roboto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name val="Roboto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  <numFmt numFmtId="165" formatCode="[$-F400]h:mm:ss\ AM/PM"/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font>
        <strike val="0"/>
        <outline val="0"/>
        <shadow val="0"/>
        <u val="none"/>
        <vertAlign val="baseline"/>
        <color theme="1"/>
        <name val="Oswald"/>
        <scheme val="none"/>
      </font>
    </dxf>
    <dxf>
      <border outline="0">
        <top style="thin">
          <color rgb="FF156082"/>
        </top>
      </border>
    </dxf>
    <dxf>
      <border outline="0">
        <top style="thin">
          <color rgb="FF156082"/>
        </top>
      </border>
    </dxf>
    <dxf>
      <border outline="0">
        <top style="thin">
          <color rgb="FF156082"/>
        </top>
      </border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C9ECE-A6DE-42AF-91D6-28C15FE86918}" name="tFakeF" displayName="tFakeF" ref="A3:H92" totalsRowShown="0" headerRowDxfId="21" dataDxfId="20" tableBorderDxfId="121">
  <autoFilter ref="A3:H92" xr:uid="{2B7C9ECE-A6DE-42AF-91D6-28C15FE86918}"/>
  <tableColumns count="8">
    <tableColumn id="1" xr3:uid="{934FA966-DF83-4E18-A294-07F81C46115D}" name="Orden" dataDxfId="29"/>
    <tableColumn id="4" xr3:uid="{AE51E167-E00E-4DFE-8E13-72CA06120B7F}" name="Nombre" dataDxfId="28">
      <calculatedColumnFormula array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calculatedColumnFormula>
    </tableColumn>
    <tableColumn id="5" xr3:uid="{ECE5A31F-D260-4AC1-956E-C04E48731E20}" name="Año" dataDxfId="27">
      <calculatedColumnFormula array="1">INDEX(tRealF[Año],RANDBETWEEN(1,ROWS(tRealF[Apellido2])))</calculatedColumnFormula>
    </tableColumn>
    <tableColumn id="6" xr3:uid="{E6A47F12-5587-443A-8B0D-51448B1D221A}" name="Club" dataDxfId="26">
      <calculatedColumnFormula array="1">INDEX(tRealF[clubFórmula],RANDBETWEEN(1,ROWS(tRealF[Apellido2])))</calculatedColumnFormula>
    </tableColumn>
    <tableColumn id="7" xr3:uid="{3FD217DB-CB8C-403E-A289-3260EC05AACE}" name="Tiempo1" dataDxfId="25">
      <calculatedColumnFormula>tRealF[[#This Row],[Tiempo1]]</calculatedColumnFormula>
    </tableColumn>
    <tableColumn id="8" xr3:uid="{0A1ABA53-0BD6-4150-96B3-B654DE8801E4}" name="Tiempo2" dataDxfId="24">
      <calculatedColumnFormula>_xlfn.LET(
    _xlpm.k, tRealF[[#This Row],[Tiempo2]],
    IF(_xlpm.k="", "", _xlpm.k)
  )</calculatedColumnFormula>
    </tableColumn>
    <tableColumn id="9" xr3:uid="{0B88A12F-DFCD-4FAF-885D-D3C3A83F7BF6}" name="Puntos" dataDxfId="23">
      <calculatedColumnFormula>_xlfn.LET(
    _xlpm.k, tRealF[[#This Row],[Puntos]],
    IF(_xlpm.k="", "", _xlpm.k)
  )</calculatedColumnFormula>
    </tableColumn>
    <tableColumn id="10" xr3:uid="{D5CAD989-A1F2-4F87-96FE-C54B5C22137E}" name="Categoría" dataDxfId="22">
      <calculatedColumnFormula array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9E8561-C70D-4C1B-8D68-15E7557BF83F}" name="tFakeM" displayName="tFakeM" ref="A3:H119" totalsRowShown="0" headerRowDxfId="31" dataDxfId="30" tableBorderDxfId="120">
  <autoFilter ref="A3:H119" xr:uid="{2B7C9ECE-A6DE-42AF-91D6-28C15FE86918}"/>
  <tableColumns count="8">
    <tableColumn id="1" xr3:uid="{FE47342C-3973-488D-9BB8-254FE951D615}" name="Orden" dataDxfId="39"/>
    <tableColumn id="4" xr3:uid="{D3CF0BF8-17C5-45CC-BFAA-1F4D178887AE}" name="Nombre" dataDxfId="38">
      <calculatedColumnFormula array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calculatedColumnFormula>
    </tableColumn>
    <tableColumn id="5" xr3:uid="{F41B1B15-D956-4A96-8A18-AADE59678A0A}" name="Año" dataDxfId="37">
      <calculatedColumnFormula array="1">INDEX(tRealM[Año],RANDBETWEEN(1,ROWS(tRealM[Apellido2])))</calculatedColumnFormula>
    </tableColumn>
    <tableColumn id="6" xr3:uid="{7DE70BE4-D6F0-4F42-BF63-A3E0779C6CCE}" name="Club" dataDxfId="36">
      <calculatedColumnFormula array="1">INDEX(tRealM[clubFórmula],RANDBETWEEN(1,ROWS(tRealM[Apellido2])))</calculatedColumnFormula>
    </tableColumn>
    <tableColumn id="7" xr3:uid="{09D0AB98-6030-4E8F-9317-414D01F87512}" name="Tiempo1" dataDxfId="35">
      <calculatedColumnFormula>tRealM[[#This Row],[Tiempo1]]</calculatedColumnFormula>
    </tableColumn>
    <tableColumn id="8" xr3:uid="{12675254-972A-4FA0-81BF-B76E0B2ABEA4}" name="Tiempo2" dataDxfId="34">
      <calculatedColumnFormula>_xlfn.LET(
    _xlpm.k, tRealM[[#This Row],[Tiempo2]],
    IF(_xlpm.k="", "", _xlpm.k)
  )</calculatedColumnFormula>
    </tableColumn>
    <tableColumn id="9" xr3:uid="{87F946F8-4274-4A5A-9689-93BDA68A3613}" name="Puntos" dataDxfId="33">
      <calculatedColumnFormula>_xlfn.LET(
    _xlpm.k, tRealM[[#This Row],[Puntos]],
    IF(_xlpm.k="", "", _xlpm.k)
  )</calculatedColumnFormula>
    </tableColumn>
    <tableColumn id="10" xr3:uid="{3DB2E753-9DCB-4D71-898E-CB48977D2191}" name="Categoría" dataDxfId="32">
      <calculatedColumnFormula array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5DF48-2453-4CCF-9CA3-3E138236CE56}" name="tFakeFM" displayName="tFakeFM" ref="A3:H101" totalsRowShown="0" headerRowDxfId="11" dataDxfId="10" tableBorderDxfId="119">
  <autoFilter ref="A3:H101" xr:uid="{2B7C9ECE-A6DE-42AF-91D6-28C15FE86918}"/>
  <tableColumns count="8">
    <tableColumn id="1" xr3:uid="{6A9E9319-34FF-4D66-B98C-EFF07F4D7EA9}" name="Orden" dataDxfId="19"/>
    <tableColumn id="4" xr3:uid="{085DF2A6-715B-4356-9B5A-6F37A2AC4548}" name="Nombre" dataDxfId="18">
      <calculatedColumnFormula array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calculatedColumnFormula>
    </tableColumn>
    <tableColumn id="5" xr3:uid="{8EE2A1FC-373F-4B95-BF8D-926F1429CCA7}" name="Año" dataDxfId="17">
      <calculatedColumnFormula array="1">INDEX(tRealFM[Año],RANDBETWEEN(1,ROWS(tRealFM[Apellido2])))</calculatedColumnFormula>
    </tableColumn>
    <tableColumn id="6" xr3:uid="{CA5D0832-F7A4-4ABC-8C05-53C2D03E0377}" name="Club" dataDxfId="16">
      <calculatedColumnFormula array="1">INDEX(tRealFM[clubFórmula],RANDBETWEEN(1,ROWS(tRealFM[Apellido2])))</calculatedColumnFormula>
    </tableColumn>
    <tableColumn id="7" xr3:uid="{FDD3BF10-3721-4781-8EDF-D97E33FA7659}" name="Tiempo1" dataDxfId="15">
      <calculatedColumnFormula>tRealFM[[#This Row],[Tiempo1]]</calculatedColumnFormula>
    </tableColumn>
    <tableColumn id="8" xr3:uid="{9D15132A-CA9F-42EC-B231-25BA4FF8DE1B}" name="Tiempo2" dataDxfId="14">
      <calculatedColumnFormula>_xlfn.LET(
    _xlpm.k, tRealFM[[#This Row],[Tiempo2]],
    IF(_xlpm.k="", "", _xlpm.k)
  )</calculatedColumnFormula>
    </tableColumn>
    <tableColumn id="9" xr3:uid="{39610E7A-1F88-41AD-A674-87E7B0DF87C4}" name="Puntos" dataDxfId="13">
      <calculatedColumnFormula>_xlfn.LET(
    _xlpm.k, tRealFM[[#This Row],[Puntos]],
    IF(_xlpm.k="", "", _xlpm.k)
  )</calculatedColumnFormula>
    </tableColumn>
    <tableColumn id="10" xr3:uid="{21240356-88AE-49BC-B961-827FEE9F0158}" name="Categoría" dataDxfId="12">
      <calculatedColumnFormula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CF7539-A0C7-4157-88C4-D54862D5CA26}" name="tFakeMM" displayName="tFakeMM" ref="A3:H137" totalsRowShown="0" headerRowDxfId="1" dataDxfId="0" tableBorderDxfId="118">
  <autoFilter ref="A3:H137" xr:uid="{2B7C9ECE-A6DE-42AF-91D6-28C15FE86918}"/>
  <tableColumns count="8">
    <tableColumn id="1" xr3:uid="{40C45D8A-4CA3-4B29-89DE-51F730CA16F8}" name="Orden" dataDxfId="9"/>
    <tableColumn id="4" xr3:uid="{3C215A32-9BE8-4F9C-9721-C525C2570DFA}" name="Nombre" dataDxfId="8">
      <calculatedColumnFormula array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calculatedColumnFormula>
    </tableColumn>
    <tableColumn id="5" xr3:uid="{5779E425-4B53-451C-9A04-F6C5D955E729}" name="Año" dataDxfId="7">
      <calculatedColumnFormula array="1">INDEX(tRealMM[Año],RANDBETWEEN(1,ROWS(tRealMM[Apellido2])))</calculatedColumnFormula>
    </tableColumn>
    <tableColumn id="6" xr3:uid="{6AF0C8AA-C751-45FA-BEF7-66BE504B748F}" name="Club" dataDxfId="6">
      <calculatedColumnFormula array="1">INDEX(tRealMM[clubFórmula],RANDBETWEEN(1,ROWS(tRealMM[Apellido2])))</calculatedColumnFormula>
    </tableColumn>
    <tableColumn id="7" xr3:uid="{B3CED0CD-C731-4A25-AC2C-063155BA6981}" name="Tiempo1" dataDxfId="5">
      <calculatedColumnFormula>tRealMM[[#This Row],[Tiempo1]]</calculatedColumnFormula>
    </tableColumn>
    <tableColumn id="8" xr3:uid="{E1A584B0-09F2-4935-B9F8-2D80045E1FA6}" name="Tiempo2" dataDxfId="4">
      <calculatedColumnFormula>_xlfn.LET(
    _xlpm.k, tRealMM[[#This Row],[Tiempo2]],
    IF(_xlpm.k="", "", _xlpm.k)
  )</calculatedColumnFormula>
    </tableColumn>
    <tableColumn id="9" xr3:uid="{86254615-2BFC-410B-8337-3CD7C3876D7E}" name="Puntos" dataDxfId="3">
      <calculatedColumnFormula>_xlfn.LET(
    _xlpm.k, tRealMM[[#This Row],[Puntos]],
    IF(_xlpm.k="", "", _xlpm.k)
  )</calculatedColumnFormula>
    </tableColumn>
    <tableColumn id="10" xr3:uid="{BACB0077-5B8B-42FC-B867-00DFF20E5D2E}" name="Categoría" dataDxfId="2">
      <calculatedColumnFormula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14CC3-6202-4DE0-BAAC-F20AC924B165}" name="tRealF" displayName="tRealF" ref="A3:P92" totalsRowShown="0" headerRowDxfId="101" dataDxfId="100">
  <autoFilter ref="A3:P92" xr:uid="{52114CC3-6202-4DE0-BAAC-F20AC924B165}"/>
  <tableColumns count="16">
    <tableColumn id="1" xr3:uid="{C3F134E6-407E-4F9C-A3A8-4220379D26E2}" name="Orden" dataDxfId="117"/>
    <tableColumn id="2" xr3:uid="{763D4E7E-273B-4493-97EA-B359E8F9E41F}" name="Apellido1" dataDxfId="116"/>
    <tableColumn id="3" xr3:uid="{91BBFAA8-D22C-4156-9114-29C041CF3CA6}" name="Apellido2" dataDxfId="115"/>
    <tableColumn id="4" xr3:uid="{50C391A3-FFBE-4DD6-B742-422AD4A9ED49}" name="Nombre" dataDxfId="114"/>
    <tableColumn id="5" xr3:uid="{600135B6-675C-40A1-8BE7-075380EE2E04}" name="Año" dataDxfId="113"/>
    <tableColumn id="6" xr3:uid="{18E02DF5-7F16-4C19-B0AA-9DCAF9FB644B}" name="Club" dataDxfId="112"/>
    <tableColumn id="7" xr3:uid="{7F5396FD-F9E7-47D3-99C6-992DF5AD3596}" name="Column1" dataDxfId="111"/>
    <tableColumn id="8" xr3:uid="{E2AC0805-6532-45F4-9EBC-D838BEAEBE5F}" name="Column2" dataDxfId="110"/>
    <tableColumn id="9" xr3:uid="{3BEC7362-542E-4FEC-A35A-7C360B57D420}" name="Column3" dataDxfId="109"/>
    <tableColumn id="10" xr3:uid="{BB06A6F4-4303-4F53-ADB8-89908D5F5720}" name="Column4" dataDxfId="108"/>
    <tableColumn id="11" xr3:uid="{50D44F6A-F152-4C70-8EC6-43D51FC28B19}" name="Column5" dataDxfId="107"/>
    <tableColumn id="12" xr3:uid="{12EAD240-9F12-4927-95D6-EAA5FF39AD51}" name="Column6" dataDxfId="106"/>
    <tableColumn id="13" xr3:uid="{BC46ADE9-6E6E-4647-9394-21B1EE105D25}" name="clubFórmula" dataDxfId="105">
      <calculatedColumnFormula>TRIM(_xlfn.CONCAT(F4," ",G4," ",H4," ",I4," ",J4," ",K4," ",L4))</calculatedColumnFormula>
    </tableColumn>
    <tableColumn id="14" xr3:uid="{D4C69788-016A-4011-95E6-B7E2195199A6}" name="Tiempo1" dataDxfId="104"/>
    <tableColumn id="15" xr3:uid="{394C948F-001C-4E06-9C04-D8764C674607}" name="Tiempo2" dataDxfId="103"/>
    <tableColumn id="16" xr3:uid="{4AB11440-E360-47F0-90FC-AF7505759F5A}" name="Puntos" dataDxfId="10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CB4A68-1986-45D1-936E-D4E63545CD0B}" name="tRealM" displayName="tRealM" ref="R3:AI119" totalsRowShown="0" headerRowDxfId="81" dataDxfId="80">
  <autoFilter ref="R3:AI119" xr:uid="{52114CC3-6202-4DE0-BAAC-F20AC924B165}"/>
  <tableColumns count="18">
    <tableColumn id="1" xr3:uid="{D5F925CF-06CD-4B1C-865A-0C15A1FCF4A2}" name="Orden" dataDxfId="99"/>
    <tableColumn id="2" xr3:uid="{D241FF8A-48CB-403C-8C9A-FDBF3C57C93D}" name="Apellido1" dataDxfId="98"/>
    <tableColumn id="3" xr3:uid="{85CDF708-274D-4E43-9ECA-29F19883BCFE}" name="Apellido2" dataDxfId="97"/>
    <tableColumn id="4" xr3:uid="{B3B06D9D-A013-4354-9878-8A3B24073B5A}" name="Nombre" dataDxfId="96"/>
    <tableColumn id="5" xr3:uid="{2F03D0DC-FBF7-49BD-AA26-76DC82DEF732}" name="Año" dataDxfId="95"/>
    <tableColumn id="6" xr3:uid="{7C7501FB-5F87-43A4-A287-EE320B671A11}" name="Club" dataDxfId="94"/>
    <tableColumn id="7" xr3:uid="{9400AE8E-EC1E-4859-A6AD-9E9F6386AC35}" name="Column1" dataDxfId="93"/>
    <tableColumn id="8" xr3:uid="{ECD9199A-65BA-4817-A6CB-A83F5939E428}" name="Column2" dataDxfId="92"/>
    <tableColumn id="9" xr3:uid="{4BFE4BEF-5D39-4B2F-BA4A-8878DEBC8F9D}" name="Column3" dataDxfId="91"/>
    <tableColumn id="10" xr3:uid="{E9790DC5-24AF-4B02-AE01-9A42C98B84FD}" name="Column4" dataDxfId="90"/>
    <tableColumn id="11" xr3:uid="{BADDB5CC-BDB5-41AA-A017-A6B13C3A7712}" name="Column5" dataDxfId="89"/>
    <tableColumn id="12" xr3:uid="{E7ABC011-3982-4310-B898-65164FB3ACC0}" name="Column6" dataDxfId="88"/>
    <tableColumn id="27" xr3:uid="{F429F8E4-4A8F-4FCA-A406-1C213392358A}" name="Column7" dataDxfId="87"/>
    <tableColumn id="26" xr3:uid="{2231443F-20B4-4E3E-8190-036B9811ABF7}" name="Column8" dataDxfId="86"/>
    <tableColumn id="13" xr3:uid="{0749684C-F625-4FF2-A9A9-26B9863E404B}" name="clubFórmula" dataDxfId="85">
      <calculatedColumnFormula>TRIM(_xlfn.CONCAT(W4," ",X4," ",Y4," ",Z4," ",AA4," ",AB4," ",AC4," ",AD4," ",AE4))</calculatedColumnFormula>
    </tableColumn>
    <tableColumn id="14" xr3:uid="{149B6986-97B4-4474-87CE-210305D40489}" name="Tiempo1" dataDxfId="84"/>
    <tableColumn id="15" xr3:uid="{3955CA1F-A795-45E8-BF6E-F968E71EFC70}" name="Tiempo2" dataDxfId="83"/>
    <tableColumn id="16" xr3:uid="{0BD495B8-ACBC-4932-96D1-0D5D6F0F8E85}" name="Puntos" dataDxfId="8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7EFB84-0B73-4EE2-84EA-7CE4A7F5220B}" name="tRealFM" displayName="tRealFM" ref="AK3:BB101" totalsRowShown="0" headerRowDxfId="61" dataDxfId="60">
  <autoFilter ref="AK3:BB101" xr:uid="{52114CC3-6202-4DE0-BAAC-F20AC924B165}"/>
  <tableColumns count="18">
    <tableColumn id="1" xr3:uid="{4821D4F9-DCA4-4653-8A91-576D1623E3D5}" name="Orden" dataDxfId="79"/>
    <tableColumn id="2" xr3:uid="{F71D33F5-25F6-418D-BE99-6FC21B85A9C7}" name="Apellido1" dataDxfId="78"/>
    <tableColumn id="3" xr3:uid="{9263F6FA-09E3-4C33-93B5-D28D429E7F22}" name="Apellido2" dataDxfId="77"/>
    <tableColumn id="4" xr3:uid="{AE41C08C-FD23-4894-918A-A9657CF81DA3}" name="Nombre" dataDxfId="76"/>
    <tableColumn id="5" xr3:uid="{2679CC41-5E97-4DC6-B905-14B22FB2D9E9}" name="Año" dataDxfId="75"/>
    <tableColumn id="6" xr3:uid="{2BF06962-BCBE-4639-A029-F0169181B18E}" name="Club" dataDxfId="74"/>
    <tableColumn id="7" xr3:uid="{E695BC15-9BBB-432D-B678-EF3904CF9D57}" name="Column1" dataDxfId="73"/>
    <tableColumn id="8" xr3:uid="{150BEA6F-08D1-487E-817E-7D3521E64E3A}" name="Column2" dataDxfId="72"/>
    <tableColumn id="9" xr3:uid="{F5B41196-1215-4760-B6A8-EA23A2731BA1}" name="Column3" dataDxfId="71"/>
    <tableColumn id="10" xr3:uid="{2FF77E62-F869-4ED9-B999-034D01509EFE}" name="Column4" dataDxfId="70"/>
    <tableColumn id="11" xr3:uid="{EDAF1395-9B97-41F4-8652-152111D649EC}" name="Column5" dataDxfId="69"/>
    <tableColumn id="12" xr3:uid="{02948628-2337-49EC-9E1E-206EBC2ABFEA}" name="Column6" dataDxfId="68"/>
    <tableColumn id="27" xr3:uid="{BAD42B97-D5CF-4972-94EF-015EA53BAD11}" name="Column7" dataDxfId="67"/>
    <tableColumn id="26" xr3:uid="{E52BB356-3285-40BF-8334-569CF50E68E8}" name="Column8" dataDxfId="66"/>
    <tableColumn id="13" xr3:uid="{377993D1-FA3D-4437-82D6-BF3ADE45A2D8}" name="clubFórmula" dataDxfId="65">
      <calculatedColumnFormula>TRIM(_xlfn.CONCAT(AP4," ",AQ4," ",AR4," ",AS4," ",AT4," ",AU4," ",AV4," ",AW4," ",AX4))</calculatedColumnFormula>
    </tableColumn>
    <tableColumn id="14" xr3:uid="{64E28429-C744-483F-8FC6-B6222A01612A}" name="Tiempo1" dataDxfId="64"/>
    <tableColumn id="15" xr3:uid="{F21D5B0D-534A-4471-8FEA-5CF02B45102F}" name="Tiempo2" dataDxfId="63"/>
    <tableColumn id="16" xr3:uid="{ED9C82F1-010F-4B79-9297-83F7949807A3}" name="Puntos" dataDxfId="6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0840CD-4EA4-410D-9C0E-7269CC8E0748}" name="tRealMM" displayName="tRealMM" ref="BD3:BU137" totalsRowShown="0" headerRowDxfId="41" dataDxfId="40">
  <autoFilter ref="BD3:BU137" xr:uid="{52114CC3-6202-4DE0-BAAC-F20AC924B165}"/>
  <tableColumns count="18">
    <tableColumn id="1" xr3:uid="{3AE63D2B-BA45-483A-A09C-930D668F6E68}" name="Orden" dataDxfId="59"/>
    <tableColumn id="2" xr3:uid="{C34F3E4C-65C2-499F-B993-B2F30B514A89}" name="Apellido1" dataDxfId="58"/>
    <tableColumn id="3" xr3:uid="{2D67D6BD-0DD7-4481-8684-F0DFB1BE87E7}" name="Apellido2" dataDxfId="57"/>
    <tableColumn id="4" xr3:uid="{5A0E6796-CDB0-44ED-A5B2-6F6FA9EB8594}" name="Nombre" dataDxfId="56"/>
    <tableColumn id="5" xr3:uid="{2AB9D1D1-5B28-4836-B8D3-9206BFD78B21}" name="Año" dataDxfId="55"/>
    <tableColumn id="6" xr3:uid="{D335B41C-D9EC-4D39-9458-9774317475AC}" name="Club" dataDxfId="54"/>
    <tableColumn id="7" xr3:uid="{B1203B39-B851-4F61-90FB-49DC9E228CFF}" name="Column1" dataDxfId="53"/>
    <tableColumn id="8" xr3:uid="{3D89EDB1-39F4-4859-8232-8DE26985940D}" name="Column2" dataDxfId="52"/>
    <tableColumn id="9" xr3:uid="{BA1F9BBD-C489-4F10-9050-CCB950EB4EF6}" name="Column3" dataDxfId="51"/>
    <tableColumn id="10" xr3:uid="{FDA67516-4B7F-457C-B26C-A91D7976C77B}" name="Column4" dataDxfId="50"/>
    <tableColumn id="11" xr3:uid="{BEA8F3F3-7E86-4929-B92D-901EEF8D2D0A}" name="Column5" dataDxfId="49"/>
    <tableColumn id="12" xr3:uid="{CF281E92-AA74-495A-B5B4-50B8E9011DE8}" name="Column6" dataDxfId="48"/>
    <tableColumn id="27" xr3:uid="{73BC59B9-8AE4-4FFF-8B36-898B371DFDF4}" name="Column7" dataDxfId="47"/>
    <tableColumn id="26" xr3:uid="{D00A0206-4137-4D76-B422-E5E3C5B93060}" name="Column8" dataDxfId="46"/>
    <tableColumn id="13" xr3:uid="{BCE40224-DC28-40B5-AB1D-97BBEA25F458}" name="clubFórmula" dataDxfId="45">
      <calculatedColumnFormula>TRIM(_xlfn.CONCAT(BI4," ",BJ4," ",BK4," ",BL4," ",BM4," ",BN4," ",BO4," ",BP4," ",BQ4))</calculatedColumnFormula>
    </tableColumn>
    <tableColumn id="14" xr3:uid="{D1C699A6-ECB6-41B3-98D4-784229A74D1F}" name="Tiempo1" dataDxfId="44"/>
    <tableColumn id="15" xr3:uid="{0790D7CB-3779-4B01-BD16-EE49D3D1E817}" name="Tiempo2" dataDxfId="43"/>
    <tableColumn id="16" xr3:uid="{CD6E2476-8715-432A-8D99-8D1BCB61E2AB}" name="Puntos" dataDxfId="4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CAB8-57D4-464F-B158-D884DC0A3CF8}">
  <dimension ref="A1:H92"/>
  <sheetViews>
    <sheetView zoomScaleNormal="100" workbookViewId="0">
      <selection activeCell="F28" sqref="F28"/>
    </sheetView>
  </sheetViews>
  <sheetFormatPr defaultRowHeight="12.75" x14ac:dyDescent="0.2"/>
  <cols>
    <col min="1" max="1" width="11.5703125" style="8" customWidth="1"/>
    <col min="2" max="2" width="36.140625" style="8" bestFit="1" customWidth="1"/>
    <col min="3" max="3" width="9.140625" style="8"/>
    <col min="4" max="4" width="43.5703125" style="8" bestFit="1" customWidth="1"/>
    <col min="5" max="5" width="13.85546875" style="8" bestFit="1" customWidth="1"/>
    <col min="6" max="6" width="10.42578125" style="8" bestFit="1" customWidth="1"/>
    <col min="7" max="7" width="9.140625" style="8"/>
    <col min="8" max="8" width="12" style="8" bestFit="1" customWidth="1"/>
    <col min="9" max="16384" width="9.140625" style="8"/>
  </cols>
  <sheetData>
    <row r="1" spans="1:8" ht="29.25" x14ac:dyDescent="0.7">
      <c r="A1" s="16" t="s">
        <v>912</v>
      </c>
    </row>
    <row r="3" spans="1:8" x14ac:dyDescent="0.2">
      <c r="A3" s="11" t="s">
        <v>282</v>
      </c>
      <c r="B3" s="12" t="s">
        <v>285</v>
      </c>
      <c r="C3" s="12" t="s">
        <v>286</v>
      </c>
      <c r="D3" s="12" t="s">
        <v>2</v>
      </c>
      <c r="E3" s="12" t="s">
        <v>287</v>
      </c>
      <c r="F3" s="12" t="s">
        <v>288</v>
      </c>
      <c r="G3" s="13" t="s">
        <v>289</v>
      </c>
      <c r="H3" s="14" t="s">
        <v>305</v>
      </c>
    </row>
    <row r="4" spans="1:8" x14ac:dyDescent="0.2">
      <c r="A4" s="8">
        <v>1</v>
      </c>
      <c r="B4" s="8" t="str" cm="1">
        <f t="array" aca="1" ref="B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FRANCOS CORDOBA, BERTA</v>
      </c>
      <c r="C4" s="8" cm="1">
        <f t="array" aca="1" ref="C4" ca="1">INDEX(tRealF[Año],RANDBETWEEN(1,ROWS(tRealF[Apellido2])))</f>
        <v>2008</v>
      </c>
      <c r="D4" s="8" t="str" cm="1">
        <f t="array" aca="1" ref="D4" ca="1">INDEX(tRealF[clubFórmula],RANDBETWEEN(1,ROWS(tRealF[Apellido2])))</f>
        <v>Club Multideporte Valladolid</v>
      </c>
      <c r="E4" s="9">
        <f>tRealF[[#This Row],[Tiempo1]]</f>
        <v>9.3981481481481485E-2</v>
      </c>
      <c r="F4" s="9">
        <f>_xlfn.LET(
    _xlpm.k, tRealF[[#This Row],[Tiempo2]],
    IF(_xlpm.k="", "", _xlpm.k)
  )</f>
        <v>9.3032407407407411E-2</v>
      </c>
      <c r="G4" s="10">
        <f>_xlfn.LET(
    _xlpm.k, tRealF[[#This Row],[Puntos]],
    IF(_xlpm.k="", "", _xlpm.k)
  )</f>
        <v>20</v>
      </c>
      <c r="H4" s="10" t="str" cm="1">
        <f t="array" aca="1" ref="H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" spans="1:8" x14ac:dyDescent="0.2">
      <c r="A5" s="8">
        <v>2</v>
      </c>
      <c r="B5" s="8" t="str" cm="1">
        <f t="array" aca="1" ref="B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CARRACEDO ESCOTS, ALEJANDRA</v>
      </c>
      <c r="C5" s="8" cm="1">
        <f t="array" aca="1" ref="C5" ca="1">INDEX(tRealF[Año],RANDBETWEEN(1,ROWS(tRealF[Apellido2])))</f>
        <v>1999</v>
      </c>
      <c r="D5" s="8" t="str" cm="1">
        <f t="array" aca="1" ref="D5" ca="1">INDEX(tRealF[clubFórmula],RANDBETWEEN(1,ROWS(tRealF[Apellido2])))</f>
        <v>Club Deportivo Natación Aldaia</v>
      </c>
      <c r="E5" s="9">
        <f>tRealF[[#This Row],[Tiempo1]]</f>
        <v>9.4618055555555552E-2</v>
      </c>
      <c r="F5" s="9">
        <f>_xlfn.LET(
    _xlpm.k, tRealF[[#This Row],[Tiempo2]],
    IF(_xlpm.k="", "", _xlpm.k)
  )</f>
        <v>9.3356481481481485E-2</v>
      </c>
      <c r="G5" s="10">
        <f>_xlfn.LET(
    _xlpm.k, tRealF[[#This Row],[Puntos]],
    IF(_xlpm.k="", "", _xlpm.k)
  )</f>
        <v>18</v>
      </c>
      <c r="H5" s="10" t="str" cm="1">
        <f t="array" aca="1" ref="H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" spans="1:8" x14ac:dyDescent="0.2">
      <c r="A6" s="8">
        <v>3</v>
      </c>
      <c r="B6" s="8" t="str" cm="1">
        <f t="array" aca="1" ref="B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MANTECON GARCIA, MICHELLE</v>
      </c>
      <c r="C6" s="8" cm="1">
        <f t="array" aca="1" ref="C6" ca="1">INDEX(tRealF[Año],RANDBETWEEN(1,ROWS(tRealF[Apellido2])))</f>
        <v>2008</v>
      </c>
      <c r="D6" s="8" t="str" cm="1">
        <f t="array" aca="1" ref="D6" ca="1">INDEX(tRealF[clubFórmula],RANDBETWEEN(1,ROWS(tRealF[Apellido2])))</f>
        <v>Club Salvamento y Socorrismo Extrema SOS</v>
      </c>
      <c r="E6" s="9">
        <f>tRealF[[#This Row],[Tiempo1]]</f>
        <v>9.6909722222222217E-2</v>
      </c>
      <c r="F6" s="9">
        <f>_xlfn.LET(
    _xlpm.k, tRealF[[#This Row],[Tiempo2]],
    IF(_xlpm.k="", "", _xlpm.k)
  )</f>
        <v>9.3854166666666669E-2</v>
      </c>
      <c r="G6" s="10">
        <f>_xlfn.LET(
    _xlpm.k, tRealF[[#This Row],[Puntos]],
    IF(_xlpm.k="", "", _xlpm.k)
  )</f>
        <v>16</v>
      </c>
      <c r="H6" s="10" t="str" cm="1">
        <f t="array" aca="1" ref="H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" spans="1:8" x14ac:dyDescent="0.2">
      <c r="A7" s="8">
        <v>4</v>
      </c>
      <c r="B7" s="8" t="str" cm="1">
        <f t="array" aca="1" ref="B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MORENO DE LA ARENA, MARTA</v>
      </c>
      <c r="C7" s="8" cm="1">
        <f t="array" aca="1" ref="C7" ca="1">INDEX(tRealF[Año],RANDBETWEEN(1,ROWS(tRealF[Apellido2])))</f>
        <v>2008</v>
      </c>
      <c r="D7" s="8" t="str" cm="1">
        <f t="array" aca="1" ref="D7" ca="1">INDEX(tRealF[clubFórmula],RANDBETWEEN(1,ROWS(tRealF[Apellido2])))</f>
        <v>Club Natació Banyoles</v>
      </c>
      <c r="E7" s="9">
        <f>tRealF[[#This Row],[Tiempo1]]</f>
        <v>9.5520833333333333E-2</v>
      </c>
      <c r="F7" s="9">
        <f>_xlfn.LET(
    _xlpm.k, tRealF[[#This Row],[Tiempo2]],
    IF(_xlpm.k="", "", _xlpm.k)
  )</f>
        <v>9.4467592592592589E-2</v>
      </c>
      <c r="G7" s="10">
        <f>_xlfn.LET(
    _xlpm.k, tRealF[[#This Row],[Puntos]],
    IF(_xlpm.k="", "", _xlpm.k)
  )</f>
        <v>14</v>
      </c>
      <c r="H7" s="10" t="str" cm="1">
        <f t="array" aca="1" ref="H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" spans="1:8" x14ac:dyDescent="0.2">
      <c r="A8" s="8">
        <v>5</v>
      </c>
      <c r="B8" s="8" t="str" cm="1">
        <f t="array" aca="1" ref="B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VIEJO CHOVGANYUK, AINHARA</v>
      </c>
      <c r="C8" s="8" cm="1">
        <f t="array" aca="1" ref="C8" ca="1">INDEX(tRealF[Año],RANDBETWEEN(1,ROWS(tRealF[Apellido2])))</f>
        <v>2008</v>
      </c>
      <c r="D8" s="8" t="str" cm="1">
        <f t="array" aca="1" ref="D8" ca="1">INDEX(tRealF[clubFórmula],RANDBETWEEN(1,ROWS(tRealF[Apellido2])))</f>
        <v>Club Natación y Salvamento Oriol Imperial</v>
      </c>
      <c r="E8" s="9">
        <f>tRealF[[#This Row],[Tiempo1]]</f>
        <v>9.5405092592592597E-2</v>
      </c>
      <c r="F8" s="9">
        <f>_xlfn.LET(
    _xlpm.k, tRealF[[#This Row],[Tiempo2]],
    IF(_xlpm.k="", "", _xlpm.k)
  )</f>
        <v>9.5509259259259266E-2</v>
      </c>
      <c r="G8" s="10">
        <f>_xlfn.LET(
    _xlpm.k, tRealF[[#This Row],[Puntos]],
    IF(_xlpm.k="", "", _xlpm.k)
  )</f>
        <v>13</v>
      </c>
      <c r="H8" s="10" t="str" cm="1">
        <f t="array" aca="1" ref="H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" spans="1:8" x14ac:dyDescent="0.2">
      <c r="A9" s="8">
        <v>6</v>
      </c>
      <c r="B9" s="8" t="str" cm="1">
        <f t="array" aca="1" ref="B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FERNÁNDEZ HERNANDEZ, LAIA</v>
      </c>
      <c r="C9" s="8" cm="1">
        <f t="array" aca="1" ref="C9" ca="1">INDEX(tRealF[Año],RANDBETWEEN(1,ROWS(tRealF[Apellido2])))</f>
        <v>2007</v>
      </c>
      <c r="D9" s="8" t="str" cm="1">
        <f t="array" aca="1" ref="D9" ca="1">INDEX(tRealF[clubFórmula],RANDBETWEEN(1,ROWS(tRealF[Apellido2])))</f>
        <v>C. D. SOS La Bañeza</v>
      </c>
      <c r="E9" s="9">
        <f>tRealF[[#This Row],[Tiempo1]]</f>
        <v>9.5370370370370369E-2</v>
      </c>
      <c r="F9" s="9">
        <f>_xlfn.LET(
    _xlpm.k, tRealF[[#This Row],[Tiempo2]],
    IF(_xlpm.k="", "", _xlpm.k)
  )</f>
        <v>9.5902777777777781E-2</v>
      </c>
      <c r="G9" s="10">
        <f>_xlfn.LET(
    _xlpm.k, tRealF[[#This Row],[Puntos]],
    IF(_xlpm.k="", "", _xlpm.k)
  )</f>
        <v>12</v>
      </c>
      <c r="H9" s="10" t="str" cm="1">
        <f t="array" aca="1" ref="H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" spans="1:8" x14ac:dyDescent="0.2">
      <c r="A10" s="8">
        <v>7</v>
      </c>
      <c r="B10" s="8" t="str" cm="1">
        <f t="array" aca="1" ref="B1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FRANCOS CANTERO, LEONOR</v>
      </c>
      <c r="C10" s="8" cm="1">
        <f t="array" aca="1" ref="C10" ca="1">INDEX(tRealF[Año],RANDBETWEEN(1,ROWS(tRealF[Apellido2])))</f>
        <v>2006</v>
      </c>
      <c r="D10" s="8" t="str" cm="1">
        <f t="array" aca="1" ref="D10" ca="1">INDEX(tRealF[clubFórmula],RANDBETWEEN(1,ROWS(tRealF[Apellido2])))</f>
        <v>Real Club Náutico de Tenerife</v>
      </c>
      <c r="E10" s="9">
        <f>tRealF[[#This Row],[Tiempo1]]</f>
        <v>9.6863425925925922E-2</v>
      </c>
      <c r="F10" s="9">
        <f>_xlfn.LET(
    _xlpm.k, tRealF[[#This Row],[Tiempo2]],
    IF(_xlpm.k="", "", _xlpm.k)
  )</f>
        <v>9.6111111111111105E-2</v>
      </c>
      <c r="G10" s="10">
        <f>_xlfn.LET(
    _xlpm.k, tRealF[[#This Row],[Puntos]],
    IF(_xlpm.k="", "", _xlpm.k)
  )</f>
        <v>11</v>
      </c>
      <c r="H10" s="10" t="str" cm="1">
        <f t="array" aca="1" ref="H1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" spans="1:8" x14ac:dyDescent="0.2">
      <c r="A11" s="8">
        <v>8</v>
      </c>
      <c r="B11" s="8" t="str" cm="1">
        <f t="array" aca="1" ref="B1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BLAS AMADOR, IVET</v>
      </c>
      <c r="C11" s="8" cm="1">
        <f t="array" aca="1" ref="C11" ca="1">INDEX(tRealF[Año],RANDBETWEEN(1,ROWS(tRealF[Apellido2])))</f>
        <v>2006</v>
      </c>
      <c r="D11" s="8" t="str" cm="1">
        <f t="array" aca="1" ref="D11" ca="1">INDEX(tRealF[clubFórmula],RANDBETWEEN(1,ROWS(tRealF[Apellido2])))</f>
        <v>C.D.E Pacífico Salvamento</v>
      </c>
      <c r="E11" s="9">
        <f>tRealF[[#This Row],[Tiempo1]]</f>
        <v>9.7604166666666672E-2</v>
      </c>
      <c r="F11" s="9">
        <f>_xlfn.LET(
    _xlpm.k, tRealF[[#This Row],[Tiempo2]],
    IF(_xlpm.k="", "", _xlpm.k)
  )</f>
        <v>9.8796296296296299E-2</v>
      </c>
      <c r="G11" s="10">
        <f>_xlfn.LET(
    _xlpm.k, tRealF[[#This Row],[Puntos]],
    IF(_xlpm.k="", "", _xlpm.k)
  )</f>
        <v>10</v>
      </c>
      <c r="H11" s="10" t="str" cm="1">
        <f t="array" aca="1" ref="H1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2" spans="1:8" x14ac:dyDescent="0.2">
      <c r="A12" s="8">
        <v>9</v>
      </c>
      <c r="B12" s="8" t="str" cm="1">
        <f t="array" aca="1" ref="B1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DIBELLONIA FLORES, JANA</v>
      </c>
      <c r="C12" s="8" cm="1">
        <f t="array" aca="1" ref="C12" ca="1">INDEX(tRealF[Año],RANDBETWEEN(1,ROWS(tRealF[Apellido2])))</f>
        <v>2000</v>
      </c>
      <c r="D12" s="8" t="str" cm="1">
        <f t="array" aca="1" ref="D12" ca="1">INDEX(tRealF[clubFórmula],RANDBETWEEN(1,ROWS(tRealF[Apellido2])))</f>
        <v>Club Deportivo Talasa Torremolinos</v>
      </c>
      <c r="E12" s="9">
        <f>tRealF[[#This Row],[Tiempo1]]</f>
        <v>9.9247685185185189E-2</v>
      </c>
      <c r="F12" s="9">
        <f>_xlfn.LET(
    _xlpm.k, tRealF[[#This Row],[Tiempo2]],
    IF(_xlpm.k="", "", _xlpm.k)
  )</f>
        <v>9.7708333333333328E-2</v>
      </c>
      <c r="G12" s="10">
        <f>_xlfn.LET(
    _xlpm.k, tRealF[[#This Row],[Puntos]],
    IF(_xlpm.k="", "", _xlpm.k)
  )</f>
        <v>8</v>
      </c>
      <c r="H12" s="10" t="str" cm="1">
        <f t="array" aca="1" ref="H1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3" spans="1:8" x14ac:dyDescent="0.2">
      <c r="A13" s="8">
        <v>10</v>
      </c>
      <c r="B13" s="8" t="str" cm="1">
        <f t="array" aca="1" ref="B1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PAYOLA MASERGAS, CRISTINA</v>
      </c>
      <c r="C13" s="8" cm="1">
        <f t="array" aca="1" ref="C13" ca="1">INDEX(tRealF[Año],RANDBETWEEN(1,ROWS(tRealF[Apellido2])))</f>
        <v>2010</v>
      </c>
      <c r="D13" s="8" t="str" cm="1">
        <f t="array" aca="1" ref="D13" ca="1">INDEX(tRealF[clubFórmula],RANDBETWEEN(1,ROWS(tRealF[Apellido2])))</f>
        <v>Club Multideporte Valladolid</v>
      </c>
      <c r="E13" s="9">
        <f>tRealF[[#This Row],[Tiempo1]]</f>
        <v>9.9340277777777777E-2</v>
      </c>
      <c r="F13" s="9">
        <f>_xlfn.LET(
    _xlpm.k, tRealF[[#This Row],[Tiempo2]],
    IF(_xlpm.k="", "", _xlpm.k)
  )</f>
        <v>9.7812499999999997E-2</v>
      </c>
      <c r="G13" s="10">
        <f>_xlfn.LET(
    _xlpm.k, tRealF[[#This Row],[Puntos]],
    IF(_xlpm.k="", "", _xlpm.k)
  )</f>
        <v>7</v>
      </c>
      <c r="H13" s="10" t="str" cm="1">
        <f t="array" aca="1" ref="H1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4" spans="1:8" x14ac:dyDescent="0.2">
      <c r="A14" s="8">
        <v>11</v>
      </c>
      <c r="B14" s="8" t="str" cm="1">
        <f t="array" aca="1" ref="B1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LLANOS MEGIA, MARTA</v>
      </c>
      <c r="C14" s="8" cm="1">
        <f t="array" aca="1" ref="C14" ca="1">INDEX(tRealF[Año],RANDBETWEEN(1,ROWS(tRealF[Apellido2])))</f>
        <v>1999</v>
      </c>
      <c r="D14" s="8" t="str" cm="1">
        <f t="array" aca="1" ref="D14" ca="1">INDEX(tRealF[clubFórmula],RANDBETWEEN(1,ROWS(tRealF[Apellido2])))</f>
        <v>Club Laguna SOS</v>
      </c>
      <c r="E14" s="9">
        <f>tRealF[[#This Row],[Tiempo1]]</f>
        <v>9.9814814814814815E-2</v>
      </c>
      <c r="F14" s="9">
        <f>_xlfn.LET(
    _xlpm.k, tRealF[[#This Row],[Tiempo2]],
    IF(_xlpm.k="", "", _xlpm.k)
  )</f>
        <v>9.8101851851851857E-2</v>
      </c>
      <c r="G14" s="10">
        <f>_xlfn.LET(
    _xlpm.k, tRealF[[#This Row],[Puntos]],
    IF(_xlpm.k="", "", _xlpm.k)
  )</f>
        <v>6</v>
      </c>
      <c r="H14" s="10" t="str" cm="1">
        <f t="array" aca="1" ref="H1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5" spans="1:8" x14ac:dyDescent="0.2">
      <c r="A15" s="8">
        <v>12</v>
      </c>
      <c r="B15" s="8" t="str" cm="1">
        <f t="array" aca="1" ref="B1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VIM OLIVA, CARLOTTA</v>
      </c>
      <c r="C15" s="8" cm="1">
        <f t="array" aca="1" ref="C15" ca="1">INDEX(tRealF[Año],RANDBETWEEN(1,ROWS(tRealF[Apellido2])))</f>
        <v>2004</v>
      </c>
      <c r="D15" s="8" t="str" cm="1">
        <f t="array" aca="1" ref="D15" ca="1">INDEX(tRealF[clubFórmula],RANDBETWEEN(1,ROWS(tRealF[Apellido2])))</f>
        <v>Club Leucante</v>
      </c>
      <c r="E15" s="9">
        <f>tRealF[[#This Row],[Tiempo1]]</f>
        <v>9.9016203703703703E-2</v>
      </c>
      <c r="F15" s="9">
        <f>_xlfn.LET(
    _xlpm.k, tRealF[[#This Row],[Tiempo2]],
    IF(_xlpm.k="", "", _xlpm.k)
  )</f>
        <v>9.8969907407407409E-2</v>
      </c>
      <c r="G15" s="10">
        <f>_xlfn.LET(
    _xlpm.k, tRealF[[#This Row],[Puntos]],
    IF(_xlpm.k="", "", _xlpm.k)
  )</f>
        <v>5</v>
      </c>
      <c r="H15" s="10" t="str" cm="1">
        <f t="array" aca="1" ref="H1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6" spans="1:8" x14ac:dyDescent="0.2">
      <c r="A16" s="8">
        <v>13</v>
      </c>
      <c r="B16" s="8" t="str" cm="1">
        <f t="array" aca="1" ref="B1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MONTALVO IGLESIAS, LUCIA</v>
      </c>
      <c r="C16" s="8" cm="1">
        <f t="array" aca="1" ref="C16" ca="1">INDEX(tRealF[Año],RANDBETWEEN(1,ROWS(tRealF[Apellido2])))</f>
        <v>2010</v>
      </c>
      <c r="D16" s="8" t="str" cm="1">
        <f t="array" aca="1" ref="D16" ca="1">INDEX(tRealF[clubFórmula],RANDBETWEEN(1,ROWS(tRealF[Apellido2])))</f>
        <v>Club Salvamento Arteixo - SALVAR</v>
      </c>
      <c r="E16" s="9">
        <f>tRealF[[#This Row],[Tiempo1]]</f>
        <v>0.10019675925925926</v>
      </c>
      <c r="F16" s="9">
        <f>_xlfn.LET(
    _xlpm.k, tRealF[[#This Row],[Tiempo2]],
    IF(_xlpm.k="", "", _xlpm.k)
  )</f>
        <v>9.9131944444444439E-2</v>
      </c>
      <c r="G16" s="10">
        <f>_xlfn.LET(
    _xlpm.k, tRealF[[#This Row],[Puntos]],
    IF(_xlpm.k="", "", _xlpm.k)
  )</f>
        <v>4</v>
      </c>
      <c r="H16" s="10" t="str" cm="1">
        <f t="array" aca="1" ref="H1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7" spans="1:8" x14ac:dyDescent="0.2">
      <c r="A17" s="8">
        <v>14</v>
      </c>
      <c r="B17" s="8" t="str" cm="1">
        <f t="array" aca="1" ref="B1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BERMAL AFONSO, ERIKA</v>
      </c>
      <c r="C17" s="8" cm="1">
        <f t="array" aca="1" ref="C17" ca="1">INDEX(tRealF[Año],RANDBETWEEN(1,ROWS(tRealF[Apellido2])))</f>
        <v>2010</v>
      </c>
      <c r="D17" s="8" t="str" cm="1">
        <f t="array" aca="1" ref="D17" ca="1">INDEX(tRealF[clubFórmula],RANDBETWEEN(1,ROWS(tRealF[Apellido2])))</f>
        <v>Club Multideporte Valladolid</v>
      </c>
      <c r="E17" s="9">
        <f>tRealF[[#This Row],[Tiempo1]]</f>
        <v>0.10033564814814815</v>
      </c>
      <c r="F17" s="9">
        <f>_xlfn.LET(
    _xlpm.k, tRealF[[#This Row],[Tiempo2]],
    IF(_xlpm.k="", "", _xlpm.k)
  )</f>
        <v>9.931712962962963E-2</v>
      </c>
      <c r="G17" s="10">
        <f>_xlfn.LET(
    _xlpm.k, tRealF[[#This Row],[Puntos]],
    IF(_xlpm.k="", "", _xlpm.k)
  )</f>
        <v>3</v>
      </c>
      <c r="H17" s="10" t="str" cm="1">
        <f t="array" aca="1" ref="H1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8" spans="1:8" x14ac:dyDescent="0.2">
      <c r="A18" s="8">
        <v>15</v>
      </c>
      <c r="B18" s="8" t="str" cm="1">
        <f t="array" aca="1" ref="B1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QUILES HERNANDEZ, ADRIANA</v>
      </c>
      <c r="C18" s="8" cm="1">
        <f t="array" aca="1" ref="C18" ca="1">INDEX(tRealF[Año],RANDBETWEEN(1,ROWS(tRealF[Apellido2])))</f>
        <v>2009</v>
      </c>
      <c r="D18" s="8" t="str" cm="1">
        <f t="array" aca="1" ref="D18" ca="1">INDEX(tRealF[clubFórmula],RANDBETWEEN(1,ROWS(tRealF[Apellido2])))</f>
        <v>Club Deportivo Unión Esgueva SOSVA</v>
      </c>
      <c r="E18" s="9">
        <f>tRealF[[#This Row],[Tiempo1]]</f>
        <v>9.9293981481481483E-2</v>
      </c>
      <c r="F18" s="9">
        <f>_xlfn.LET(
    _xlpm.k, tRealF[[#This Row],[Tiempo2]],
    IF(_xlpm.k="", "", _xlpm.k)
  )</f>
        <v>9.9525462962962968E-2</v>
      </c>
      <c r="G18" s="10">
        <f>_xlfn.LET(
    _xlpm.k, tRealF[[#This Row],[Puntos]],
    IF(_xlpm.k="", "", _xlpm.k)
  )</f>
        <v>2</v>
      </c>
      <c r="H18" s="10" t="str" cm="1">
        <f t="array" aca="1" ref="H1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9" spans="1:8" x14ac:dyDescent="0.2">
      <c r="A19" s="8">
        <v>16</v>
      </c>
      <c r="B19" s="8" t="str" cm="1">
        <f t="array" aca="1" ref="B1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ORTEGA DE LAS HERAS, ÈLIA</v>
      </c>
      <c r="C19" s="8" cm="1">
        <f t="array" aca="1" ref="C19" ca="1">INDEX(tRealF[Año],RANDBETWEEN(1,ROWS(tRealF[Apellido2])))</f>
        <v>2010</v>
      </c>
      <c r="D19" s="8" t="str" cm="1">
        <f t="array" aca="1" ref="D19" ca="1">INDEX(tRealF[clubFórmula],RANDBETWEEN(1,ROWS(tRealF[Apellido2])))</f>
        <v>Club Salvamento y Natación Silla</v>
      </c>
      <c r="E19" s="9">
        <f>tRealF[[#This Row],[Tiempo1]]</f>
        <v>0.1000462962962963</v>
      </c>
      <c r="F19" s="9" t="str">
        <f>_xlfn.LET(
    _xlpm.k, tRealF[[#This Row],[Tiempo2]],
    IF(_xlpm.k="", "", _xlpm.k)
  )</f>
        <v/>
      </c>
      <c r="G19" s="10">
        <f>_xlfn.LET(
    _xlpm.k, tRealF[[#This Row],[Puntos]],
    IF(_xlpm.k="", "", _xlpm.k)
  )</f>
        <v>1</v>
      </c>
      <c r="H19" s="10" t="str" cm="1">
        <f t="array" aca="1" ref="H1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0" spans="1:8" x14ac:dyDescent="0.2">
      <c r="A20" s="8">
        <v>17</v>
      </c>
      <c r="B20" s="8" t="str" cm="1">
        <f t="array" aca="1" ref="B2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CARMONA PADILLA, YAEL</v>
      </c>
      <c r="C20" s="8" cm="1">
        <f t="array" aca="1" ref="C20" ca="1">INDEX(tRealF[Año],RANDBETWEEN(1,ROWS(tRealF[Apellido2])))</f>
        <v>2010</v>
      </c>
      <c r="D20" s="8" t="str" cm="1">
        <f t="array" aca="1" ref="D20" ca="1">INDEX(tRealF[clubFórmula],RANDBETWEEN(1,ROWS(tRealF[Apellido2])))</f>
        <v>Club Natació Banyoles</v>
      </c>
      <c r="E20" s="9">
        <f>tRealF[[#This Row],[Tiempo1]]</f>
        <v>0.10012731481481481</v>
      </c>
      <c r="F20" s="9" t="str">
        <f>_xlfn.LET(
    _xlpm.k, tRealF[[#This Row],[Tiempo2]],
    IF(_xlpm.k="", "", _xlpm.k)
  )</f>
        <v/>
      </c>
      <c r="G20" s="10" t="str">
        <f>_xlfn.LET(
    _xlpm.k, tRealF[[#This Row],[Puntos]],
    IF(_xlpm.k="", "", _xlpm.k)
  )</f>
        <v/>
      </c>
      <c r="H20" s="10" t="str" cm="1">
        <f t="array" aca="1" ref="H2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1" spans="1:8" x14ac:dyDescent="0.2">
      <c r="A21" s="8">
        <v>18</v>
      </c>
      <c r="B21" s="8" t="str" cm="1">
        <f t="array" aca="1" ref="B2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VIEJO IZQUIERDO, ELSA</v>
      </c>
      <c r="C21" s="8" cm="1">
        <f t="array" aca="1" ref="C21" ca="1">INDEX(tRealF[Año],RANDBETWEEN(1,ROWS(tRealF[Apellido2])))</f>
        <v>2006</v>
      </c>
      <c r="D21" s="8" t="str" cm="1">
        <f t="array" aca="1" ref="D21" ca="1">INDEX(tRealF[clubFórmula],RANDBETWEEN(1,ROWS(tRealF[Apellido2])))</f>
        <v>Alcarreño de Salvamento y Socorrismo</v>
      </c>
      <c r="E21" s="9">
        <f>tRealF[[#This Row],[Tiempo1]]</f>
        <v>0.10079861111111112</v>
      </c>
      <c r="F21" s="9" t="str">
        <f>_xlfn.LET(
    _xlpm.k, tRealF[[#This Row],[Tiempo2]],
    IF(_xlpm.k="", "", _xlpm.k)
  )</f>
        <v/>
      </c>
      <c r="G21" s="10" t="str">
        <f>_xlfn.LET(
    _xlpm.k, tRealF[[#This Row],[Puntos]],
    IF(_xlpm.k="", "", _xlpm.k)
  )</f>
        <v/>
      </c>
      <c r="H21" s="10" t="str" cm="1">
        <f t="array" aca="1" ref="H2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2" spans="1:8" x14ac:dyDescent="0.2">
      <c r="A22" s="8">
        <v>19</v>
      </c>
      <c r="B22" s="8" t="str" cm="1">
        <f t="array" aca="1" ref="B2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CONTRERAS RAMIÓ, CARLA</v>
      </c>
      <c r="C22" s="8" cm="1">
        <f t="array" aca="1" ref="C22" ca="1">INDEX(tRealF[Año],RANDBETWEEN(1,ROWS(tRealF[Apellido2])))</f>
        <v>2007</v>
      </c>
      <c r="D22" s="8" t="str" cm="1">
        <f t="array" aca="1" ref="D22" ca="1">INDEX(tRealF[clubFórmula],RANDBETWEEN(1,ROWS(tRealF[Apellido2])))</f>
        <v>Club Natació Banyoles</v>
      </c>
      <c r="E22" s="9">
        <f>tRealF[[#This Row],[Tiempo1]]</f>
        <v>0.10092592592592593</v>
      </c>
      <c r="F22" s="9" t="str">
        <f>_xlfn.LET(
    _xlpm.k, tRealF[[#This Row],[Tiempo2]],
    IF(_xlpm.k="", "", _xlpm.k)
  )</f>
        <v/>
      </c>
      <c r="G22" s="10" t="str">
        <f>_xlfn.LET(
    _xlpm.k, tRealF[[#This Row],[Puntos]],
    IF(_xlpm.k="", "", _xlpm.k)
  )</f>
        <v/>
      </c>
      <c r="H22" s="10" t="str" cm="1">
        <f t="array" aca="1" ref="H2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3" spans="1:8" x14ac:dyDescent="0.2">
      <c r="A23" s="8">
        <v>20</v>
      </c>
      <c r="B23" s="8" t="str" cm="1">
        <f t="array" aca="1" ref="B2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CONTRERAS LOURIDO, MAYI</v>
      </c>
      <c r="C23" s="8" cm="1">
        <f t="array" aca="1" ref="C23" ca="1">INDEX(tRealF[Año],RANDBETWEEN(1,ROWS(tRealF[Apellido2])))</f>
        <v>2008</v>
      </c>
      <c r="D23" s="8" t="str" cm="1">
        <f t="array" aca="1" ref="D23" ca="1">INDEX(tRealF[clubFórmula],RANDBETWEEN(1,ROWS(tRealF[Apellido2])))</f>
        <v>Club Salvamento y Natación Silla</v>
      </c>
      <c r="E23" s="9">
        <f>tRealF[[#This Row],[Tiempo1]]</f>
        <v>0.10112268518518519</v>
      </c>
      <c r="F23" s="9" t="str">
        <f>_xlfn.LET(
    _xlpm.k, tRealF[[#This Row],[Tiempo2]],
    IF(_xlpm.k="", "", _xlpm.k)
  )</f>
        <v/>
      </c>
      <c r="G23" s="10" t="str">
        <f>_xlfn.LET(
    _xlpm.k, tRealF[[#This Row],[Puntos]],
    IF(_xlpm.k="", "", _xlpm.k)
  )</f>
        <v/>
      </c>
      <c r="H23" s="10" t="str" cm="1">
        <f t="array" aca="1" ref="H2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4" spans="1:8" x14ac:dyDescent="0.2">
      <c r="A24" s="8">
        <v>21</v>
      </c>
      <c r="B24" s="8" t="str" cm="1">
        <f t="array" aca="1" ref="B2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CUERVO ANGLADA, NATALIA</v>
      </c>
      <c r="C24" s="8" cm="1">
        <f t="array" aca="1" ref="C24" ca="1">INDEX(tRealF[Año],RANDBETWEEN(1,ROWS(tRealF[Apellido2])))</f>
        <v>2009</v>
      </c>
      <c r="D24" s="8" t="str" cm="1">
        <f t="array" aca="1" ref="D24" ca="1">INDEX(tRealF[clubFórmula],RANDBETWEEN(1,ROWS(tRealF[Apellido2])))</f>
        <v>Club Deportivo Oca S.O.S</v>
      </c>
      <c r="E24" s="9">
        <f>tRealF[[#This Row],[Tiempo1]]</f>
        <v>0.10072916666666666</v>
      </c>
      <c r="F24" s="9" t="str">
        <f>_xlfn.LET(
    _xlpm.k, tRealF[[#This Row],[Tiempo2]],
    IF(_xlpm.k="", "", _xlpm.k)
  )</f>
        <v/>
      </c>
      <c r="G24" s="10" t="str">
        <f>_xlfn.LET(
    _xlpm.k, tRealF[[#This Row],[Puntos]],
    IF(_xlpm.k="", "", _xlpm.k)
  )</f>
        <v/>
      </c>
      <c r="H24" s="10" t="str" cm="1">
        <f t="array" aca="1" ref="H2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5" spans="1:8" x14ac:dyDescent="0.2">
      <c r="A25" s="8">
        <v>22</v>
      </c>
      <c r="B25" s="8" t="str" cm="1">
        <f t="array" aca="1" ref="B2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SASTRE GOMEZ, LAURA</v>
      </c>
      <c r="C25" s="8" cm="1">
        <f t="array" aca="1" ref="C25" ca="1">INDEX(tRealF[Año],RANDBETWEEN(1,ROWS(tRealF[Apellido2])))</f>
        <v>2008</v>
      </c>
      <c r="D25" s="8" t="str" cm="1">
        <f t="array" aca="1" ref="D25" ca="1">INDEX(tRealF[clubFórmula],RANDBETWEEN(1,ROWS(tRealF[Apellido2])))</f>
        <v>Club Natación Guadalajara</v>
      </c>
      <c r="E25" s="9">
        <f>tRealF[[#This Row],[Tiempo1]]</f>
        <v>0.10105324074074074</v>
      </c>
      <c r="F25" s="9" t="str">
        <f>_xlfn.LET(
    _xlpm.k, tRealF[[#This Row],[Tiempo2]],
    IF(_xlpm.k="", "", _xlpm.k)
  )</f>
        <v/>
      </c>
      <c r="G25" s="10" t="str">
        <f>_xlfn.LET(
    _xlpm.k, tRealF[[#This Row],[Puntos]],
    IF(_xlpm.k="", "", _xlpm.k)
  )</f>
        <v/>
      </c>
      <c r="H25" s="10" t="str" cm="1">
        <f t="array" aca="1" ref="H2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6" spans="1:8" x14ac:dyDescent="0.2">
      <c r="A26" s="8">
        <v>23</v>
      </c>
      <c r="B26" s="8" t="str" cm="1">
        <f t="array" aca="1" ref="B2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GANADO CUADRADO, CRISTINA</v>
      </c>
      <c r="C26" s="8" cm="1">
        <f t="array" aca="1" ref="C26" ca="1">INDEX(tRealF[Año],RANDBETWEEN(1,ROWS(tRealF[Apellido2])))</f>
        <v>2007</v>
      </c>
      <c r="D26" s="8" t="str" cm="1">
        <f t="array" aca="1" ref="D26" ca="1">INDEX(tRealF[clubFórmula],RANDBETWEEN(1,ROWS(tRealF[Apellido2])))</f>
        <v>Club Leucante</v>
      </c>
      <c r="E26" s="9">
        <f>tRealF[[#This Row],[Tiempo1]]</f>
        <v>0.10133101851851851</v>
      </c>
      <c r="F26" s="9" t="str">
        <f>_xlfn.LET(
    _xlpm.k, tRealF[[#This Row],[Tiempo2]],
    IF(_xlpm.k="", "", _xlpm.k)
  )</f>
        <v/>
      </c>
      <c r="G26" s="10" t="str">
        <f>_xlfn.LET(
    _xlpm.k, tRealF[[#This Row],[Puntos]],
    IF(_xlpm.k="", "", _xlpm.k)
  )</f>
        <v/>
      </c>
      <c r="H26" s="10" t="str" cm="1">
        <f t="array" aca="1" ref="H2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7" spans="1:8" x14ac:dyDescent="0.2">
      <c r="A27" s="8">
        <v>24</v>
      </c>
      <c r="B27" s="8" t="str" cm="1">
        <f t="array" aca="1" ref="B2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SANTOS ARMERO, CAROLINA</v>
      </c>
      <c r="C27" s="8" cm="1">
        <f t="array" aca="1" ref="C27" ca="1">INDEX(tRealF[Año],RANDBETWEEN(1,ROWS(tRealF[Apellido2])))</f>
        <v>2010</v>
      </c>
      <c r="D27" s="8" t="str" cm="1">
        <f t="array" aca="1" ref="D27" ca="1">INDEX(tRealF[clubFórmula],RANDBETWEEN(1,ROWS(tRealF[Apellido2])))</f>
        <v>Alcarreño de Salvamento y Socorrismo</v>
      </c>
      <c r="E27" s="9">
        <f>tRealF[[#This Row],[Tiempo1]]</f>
        <v>0.10144675925925926</v>
      </c>
      <c r="F27" s="9" t="str">
        <f>_xlfn.LET(
    _xlpm.k, tRealF[[#This Row],[Tiempo2]],
    IF(_xlpm.k="", "", _xlpm.k)
  )</f>
        <v/>
      </c>
      <c r="G27" s="10" t="str">
        <f>_xlfn.LET(
    _xlpm.k, tRealF[[#This Row],[Puntos]],
    IF(_xlpm.k="", "", _xlpm.k)
  )</f>
        <v/>
      </c>
      <c r="H27" s="10" t="str" cm="1">
        <f t="array" aca="1" ref="H2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8" spans="1:8" x14ac:dyDescent="0.2">
      <c r="A28" s="8">
        <v>25</v>
      </c>
      <c r="B28" s="8" t="str" cm="1">
        <f t="array" aca="1" ref="B2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LLANOS GARCÍA, ADRIANA</v>
      </c>
      <c r="C28" s="8" cm="1">
        <f t="array" aca="1" ref="C28" ca="1">INDEX(tRealF[Año],RANDBETWEEN(1,ROWS(tRealF[Apellido2])))</f>
        <v>2009</v>
      </c>
      <c r="D28" s="8" t="str" cm="1">
        <f t="array" aca="1" ref="D28" ca="1">INDEX(tRealF[clubFórmula],RANDBETWEEN(1,ROWS(tRealF[Apellido2])))</f>
        <v>Club Natación Guadalajara</v>
      </c>
      <c r="E28" s="9">
        <f>tRealF[[#This Row],[Tiempo1]]</f>
        <v>0.1015625</v>
      </c>
      <c r="F28" s="9" t="str">
        <f>_xlfn.LET(
    _xlpm.k, tRealF[[#This Row],[Tiempo2]],
    IF(_xlpm.k="", "", _xlpm.k)
  )</f>
        <v/>
      </c>
      <c r="G28" s="10" t="str">
        <f>_xlfn.LET(
    _xlpm.k, tRealF[[#This Row],[Puntos]],
    IF(_xlpm.k="", "", _xlpm.k)
  )</f>
        <v/>
      </c>
      <c r="H28" s="10" t="str" cm="1">
        <f t="array" aca="1" ref="H2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9" spans="1:8" x14ac:dyDescent="0.2">
      <c r="A29" s="8">
        <v>26</v>
      </c>
      <c r="B29" s="8" t="str" cm="1">
        <f t="array" aca="1" ref="B2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SANTOS ABASCAL, ELISA</v>
      </c>
      <c r="C29" s="8" cm="1">
        <f t="array" aca="1" ref="C29" ca="1">INDEX(tRealF[Año],RANDBETWEEN(1,ROWS(tRealF[Apellido2])))</f>
        <v>2008</v>
      </c>
      <c r="D29" s="8" t="str" cm="1">
        <f t="array" aca="1" ref="D29" ca="1">INDEX(tRealF[clubFórmula],RANDBETWEEN(1,ROWS(tRealF[Apellido2])))</f>
        <v>Club A.C.N. Marisma</v>
      </c>
      <c r="E29" s="9">
        <f>tRealF[[#This Row],[Tiempo1]]</f>
        <v>0.10158564814814815</v>
      </c>
      <c r="F29" s="9" t="str">
        <f>_xlfn.LET(
    _xlpm.k, tRealF[[#This Row],[Tiempo2]],
    IF(_xlpm.k="", "", _xlpm.k)
  )</f>
        <v/>
      </c>
      <c r="G29" s="10" t="str">
        <f>_xlfn.LET(
    _xlpm.k, tRealF[[#This Row],[Puntos]],
    IF(_xlpm.k="", "", _xlpm.k)
  )</f>
        <v/>
      </c>
      <c r="H29" s="10" t="str" cm="1">
        <f t="array" aca="1" ref="H2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0" spans="1:8" x14ac:dyDescent="0.2">
      <c r="A30" s="8">
        <v>27</v>
      </c>
      <c r="B30" s="8" t="str" cm="1">
        <f t="array" aca="1" ref="B3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CONTRERAS BLANCO, GABRIELA</v>
      </c>
      <c r="C30" s="8" cm="1">
        <f t="array" aca="1" ref="C30" ca="1">INDEX(tRealF[Año],RANDBETWEEN(1,ROWS(tRealF[Apellido2])))</f>
        <v>2010</v>
      </c>
      <c r="D30" s="8" t="str" cm="1">
        <f t="array" aca="1" ref="D30" ca="1">INDEX(tRealF[clubFórmula],RANDBETWEEN(1,ROWS(tRealF[Apellido2])))</f>
        <v>Club Natación Guadalajara</v>
      </c>
      <c r="E30" s="9">
        <f>tRealF[[#This Row],[Tiempo1]]</f>
        <v>0.1019212962962963</v>
      </c>
      <c r="F30" s="9" t="str">
        <f>_xlfn.LET(
    _xlpm.k, tRealF[[#This Row],[Tiempo2]],
    IF(_xlpm.k="", "", _xlpm.k)
  )</f>
        <v/>
      </c>
      <c r="G30" s="10" t="str">
        <f>_xlfn.LET(
    _xlpm.k, tRealF[[#This Row],[Puntos]],
    IF(_xlpm.k="", "", _xlpm.k)
  )</f>
        <v/>
      </c>
      <c r="H30" s="10" t="str" cm="1">
        <f t="array" aca="1" ref="H3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1" spans="1:8" x14ac:dyDescent="0.2">
      <c r="A31" s="8">
        <v>28</v>
      </c>
      <c r="B31" s="8" t="str" cm="1">
        <f t="array" aca="1" ref="B3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SAIZ IZQUIERDO, TANIA</v>
      </c>
      <c r="C31" s="8" cm="1">
        <f t="array" aca="1" ref="C31" ca="1">INDEX(tRealF[Año],RANDBETWEEN(1,ROWS(tRealF[Apellido2])))</f>
        <v>2008</v>
      </c>
      <c r="D31" s="8" t="str" cm="1">
        <f t="array" aca="1" ref="D31" ca="1">INDEX(tRealF[clubFórmula],RANDBETWEEN(1,ROWS(tRealF[Apellido2])))</f>
        <v>Club Deportivo Oca S.O.S</v>
      </c>
      <c r="E31" s="9">
        <f>tRealF[[#This Row],[Tiempo1]]</f>
        <v>0.10228009259259259</v>
      </c>
      <c r="F31" s="9" t="str">
        <f>_xlfn.LET(
    _xlpm.k, tRealF[[#This Row],[Tiempo2]],
    IF(_xlpm.k="", "", _xlpm.k)
  )</f>
        <v/>
      </c>
      <c r="G31" s="10" t="str">
        <f>_xlfn.LET(
    _xlpm.k, tRealF[[#This Row],[Puntos]],
    IF(_xlpm.k="", "", _xlpm.k)
  )</f>
        <v/>
      </c>
      <c r="H31" s="10" t="str" cm="1">
        <f t="array" aca="1" ref="H3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2" spans="1:8" x14ac:dyDescent="0.2">
      <c r="A32" s="8">
        <v>29</v>
      </c>
      <c r="B32" s="8" t="str" cm="1">
        <f t="array" aca="1" ref="B3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SIRVENT MARTINEZ, DIANA</v>
      </c>
      <c r="C32" s="8" cm="1">
        <f t="array" aca="1" ref="C32" ca="1">INDEX(tRealF[Año],RANDBETWEEN(1,ROWS(tRealF[Apellido2])))</f>
        <v>2009</v>
      </c>
      <c r="D32" s="8" t="str" cm="1">
        <f t="array" aca="1" ref="D32" ca="1">INDEX(tRealF[clubFórmula],RANDBETWEEN(1,ROWS(tRealF[Apellido2])))</f>
        <v>Club Salvamento Arteixo - SALVAR</v>
      </c>
      <c r="E32" s="9">
        <f>tRealF[[#This Row],[Tiempo1]]</f>
        <v>0.10284722222222223</v>
      </c>
      <c r="F32" s="9" t="str">
        <f>_xlfn.LET(
    _xlpm.k, tRealF[[#This Row],[Tiempo2]],
    IF(_xlpm.k="", "", _xlpm.k)
  )</f>
        <v/>
      </c>
      <c r="G32" s="10" t="str">
        <f>_xlfn.LET(
    _xlpm.k, tRealF[[#This Row],[Puntos]],
    IF(_xlpm.k="", "", _xlpm.k)
  )</f>
        <v/>
      </c>
      <c r="H32" s="10" t="str" cm="1">
        <f t="array" aca="1" ref="H3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3" spans="1:8" x14ac:dyDescent="0.2">
      <c r="A33" s="8">
        <v>30</v>
      </c>
      <c r="B33" s="8" t="str" cm="1">
        <f t="array" aca="1" ref="B3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GARCIA LOURIDO, NOA</v>
      </c>
      <c r="C33" s="8" cm="1">
        <f t="array" aca="1" ref="C33" ca="1">INDEX(tRealF[Año],RANDBETWEEN(1,ROWS(tRealF[Apellido2])))</f>
        <v>2008</v>
      </c>
      <c r="D33" s="8" t="str" cm="1">
        <f t="array" aca="1" ref="D33" ca="1">INDEX(tRealF[clubFórmula],RANDBETWEEN(1,ROWS(tRealF[Apellido2])))</f>
        <v>Club Deportivo Natación Aldaia</v>
      </c>
      <c r="E33" s="9">
        <f>tRealF[[#This Row],[Tiempo1]]</f>
        <v>0.10311342592592593</v>
      </c>
      <c r="F33" s="9" t="str">
        <f>_xlfn.LET(
    _xlpm.k, tRealF[[#This Row],[Tiempo2]],
    IF(_xlpm.k="", "", _xlpm.k)
  )</f>
        <v/>
      </c>
      <c r="G33" s="10" t="str">
        <f>_xlfn.LET(
    _xlpm.k, tRealF[[#This Row],[Puntos]],
    IF(_xlpm.k="", "", _xlpm.k)
  )</f>
        <v/>
      </c>
      <c r="H33" s="10" t="str" cm="1">
        <f t="array" aca="1" ref="H3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4" spans="1:8" x14ac:dyDescent="0.2">
      <c r="A34" s="8">
        <v>31</v>
      </c>
      <c r="B34" s="8" t="str" cm="1">
        <f t="array" aca="1" ref="B3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ARAGÓN LOURIDO, PAULA</v>
      </c>
      <c r="C34" s="8" cm="1">
        <f t="array" aca="1" ref="C34" ca="1">INDEX(tRealF[Año],RANDBETWEEN(1,ROWS(tRealF[Apellido2])))</f>
        <v>2008</v>
      </c>
      <c r="D34" s="8" t="str" cm="1">
        <f t="array" aca="1" ref="D34" ca="1">INDEX(tRealF[clubFórmula],RANDBETWEEN(1,ROWS(tRealF[Apellido2])))</f>
        <v>Club Natación SOS Bétera</v>
      </c>
      <c r="E34" s="9">
        <f>tRealF[[#This Row],[Tiempo1]]</f>
        <v>0.10302083333333334</v>
      </c>
      <c r="F34" s="9" t="str">
        <f>_xlfn.LET(
    _xlpm.k, tRealF[[#This Row],[Tiempo2]],
    IF(_xlpm.k="", "", _xlpm.k)
  )</f>
        <v/>
      </c>
      <c r="G34" s="10" t="str">
        <f>_xlfn.LET(
    _xlpm.k, tRealF[[#This Row],[Puntos]],
    IF(_xlpm.k="", "", _xlpm.k)
  )</f>
        <v/>
      </c>
      <c r="H34" s="10" t="str" cm="1">
        <f t="array" aca="1" ref="H3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5" spans="1:8" x14ac:dyDescent="0.2">
      <c r="A35" s="8">
        <v>32</v>
      </c>
      <c r="B35" s="8" t="str" cm="1">
        <f t="array" aca="1" ref="B3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MARTINEZ CORTES, GABRIELA</v>
      </c>
      <c r="C35" s="8" cm="1">
        <f t="array" aca="1" ref="C35" ca="1">INDEX(tRealF[Año],RANDBETWEEN(1,ROWS(tRealF[Apellido2])))</f>
        <v>2009</v>
      </c>
      <c r="D35" s="8" t="str" cm="1">
        <f t="array" aca="1" ref="D35" ca="1">INDEX(tRealF[clubFórmula],RANDBETWEEN(1,ROWS(tRealF[Apellido2])))</f>
        <v>Club Laguna SOS</v>
      </c>
      <c r="E35" s="9">
        <f>tRealF[[#This Row],[Tiempo1]]</f>
        <v>0.1034837962962963</v>
      </c>
      <c r="F35" s="9" t="str">
        <f>_xlfn.LET(
    _xlpm.k, tRealF[[#This Row],[Tiempo2]],
    IF(_xlpm.k="", "", _xlpm.k)
  )</f>
        <v/>
      </c>
      <c r="G35" s="10" t="str">
        <f>_xlfn.LET(
    _xlpm.k, tRealF[[#This Row],[Puntos]],
    IF(_xlpm.k="", "", _xlpm.k)
  )</f>
        <v/>
      </c>
      <c r="H35" s="10" t="str" cm="1">
        <f t="array" aca="1" ref="H3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6" spans="1:8" x14ac:dyDescent="0.2">
      <c r="A36" s="8">
        <v>33</v>
      </c>
      <c r="B36" s="8" t="str" cm="1">
        <f t="array" aca="1" ref="B3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TARRATS DE LAS HERAS, MARINA</v>
      </c>
      <c r="C36" s="8" cm="1">
        <f t="array" aca="1" ref="C36" ca="1">INDEX(tRealF[Año],RANDBETWEEN(1,ROWS(tRealF[Apellido2])))</f>
        <v>2009</v>
      </c>
      <c r="D36" s="8" t="str" cm="1">
        <f t="array" aca="1" ref="D36" ca="1">INDEX(tRealF[clubFórmula],RANDBETWEEN(1,ROWS(tRealF[Apellido2])))</f>
        <v>Club Natación Guadalajara</v>
      </c>
      <c r="E36" s="9">
        <f>tRealF[[#This Row],[Tiempo1]]</f>
        <v>0.10376157407407408</v>
      </c>
      <c r="F36" s="9" t="str">
        <f>_xlfn.LET(
    _xlpm.k, tRealF[[#This Row],[Tiempo2]],
    IF(_xlpm.k="", "", _xlpm.k)
  )</f>
        <v/>
      </c>
      <c r="G36" s="10" t="str">
        <f>_xlfn.LET(
    _xlpm.k, tRealF[[#This Row],[Puntos]],
    IF(_xlpm.k="", "", _xlpm.k)
  )</f>
        <v/>
      </c>
      <c r="H36" s="10" t="str" cm="1">
        <f t="array" aca="1" ref="H3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7" spans="1:8" x14ac:dyDescent="0.2">
      <c r="A37" s="8">
        <v>34</v>
      </c>
      <c r="B37" s="8" t="str" cm="1">
        <f t="array" aca="1" ref="B3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MARTINEZ GARCÍA, CRISTINA</v>
      </c>
      <c r="C37" s="8" cm="1">
        <f t="array" aca="1" ref="C37" ca="1">INDEX(tRealF[Año],RANDBETWEEN(1,ROWS(tRealF[Apellido2])))</f>
        <v>1993</v>
      </c>
      <c r="D37" s="8" t="str" cm="1">
        <f t="array" aca="1" ref="D37" ca="1">INDEX(tRealF[clubFórmula],RANDBETWEEN(1,ROWS(tRealF[Apellido2])))</f>
        <v>Club Natación y Salvamento Albasit</v>
      </c>
      <c r="E37" s="9">
        <f>tRealF[[#This Row],[Tiempo1]]</f>
        <v>0.10383101851851852</v>
      </c>
      <c r="F37" s="9" t="str">
        <f>_xlfn.LET(
    _xlpm.k, tRealF[[#This Row],[Tiempo2]],
    IF(_xlpm.k="", "", _xlpm.k)
  )</f>
        <v/>
      </c>
      <c r="G37" s="10" t="str">
        <f>_xlfn.LET(
    _xlpm.k, tRealF[[#This Row],[Puntos]],
    IF(_xlpm.k="", "", _xlpm.k)
  )</f>
        <v/>
      </c>
      <c r="H37" s="10" t="str" cm="1">
        <f t="array" aca="1" ref="H3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8" spans="1:8" x14ac:dyDescent="0.2">
      <c r="A38" s="8">
        <v>35</v>
      </c>
      <c r="B38" s="8" t="str" cm="1">
        <f t="array" aca="1" ref="B3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DIBELLONIA MEGIA, NEREA</v>
      </c>
      <c r="C38" s="8" cm="1">
        <f t="array" aca="1" ref="C38" ca="1">INDEX(tRealF[Año],RANDBETWEEN(1,ROWS(tRealF[Apellido2])))</f>
        <v>2008</v>
      </c>
      <c r="D38" s="8" t="str" cm="1">
        <f t="array" aca="1" ref="D38" ca="1">INDEX(tRealF[clubFórmula],RANDBETWEEN(1,ROWS(tRealF[Apellido2])))</f>
        <v>Club Salvamento Rhinos Ciudad Real</v>
      </c>
      <c r="E38" s="9">
        <f>tRealF[[#This Row],[Tiempo1]]</f>
        <v>0.10402777777777777</v>
      </c>
      <c r="F38" s="9" t="str">
        <f>_xlfn.LET(
    _xlpm.k, tRealF[[#This Row],[Tiempo2]],
    IF(_xlpm.k="", "", _xlpm.k)
  )</f>
        <v/>
      </c>
      <c r="G38" s="10" t="str">
        <f>_xlfn.LET(
    _xlpm.k, tRealF[[#This Row],[Puntos]],
    IF(_xlpm.k="", "", _xlpm.k)
  )</f>
        <v/>
      </c>
      <c r="H38" s="10" t="str" cm="1">
        <f t="array" aca="1" ref="H3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9" spans="1:8" x14ac:dyDescent="0.2">
      <c r="A39" s="8">
        <v>36</v>
      </c>
      <c r="B39" s="8" t="str" cm="1">
        <f t="array" aca="1" ref="B3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REMUZGO MESIAS, MARIÑA</v>
      </c>
      <c r="C39" s="8" cm="1">
        <f t="array" aca="1" ref="C39" ca="1">INDEX(tRealF[Año],RANDBETWEEN(1,ROWS(tRealF[Apellido2])))</f>
        <v>2008</v>
      </c>
      <c r="D39" s="8" t="str" cm="1">
        <f t="array" aca="1" ref="D39" ca="1">INDEX(tRealF[clubFórmula],RANDBETWEEN(1,ROWS(tRealF[Apellido2])))</f>
        <v>Alcarreño de Salvamento y Socorrismo</v>
      </c>
      <c r="E39" s="9">
        <f>tRealF[[#This Row],[Tiempo1]]</f>
        <v>0.10481481481481482</v>
      </c>
      <c r="F39" s="9" t="str">
        <f>_xlfn.LET(
    _xlpm.k, tRealF[[#This Row],[Tiempo2]],
    IF(_xlpm.k="", "", _xlpm.k)
  )</f>
        <v/>
      </c>
      <c r="G39" s="10" t="str">
        <f>_xlfn.LET(
    _xlpm.k, tRealF[[#This Row],[Puntos]],
    IF(_xlpm.k="", "", _xlpm.k)
  )</f>
        <v/>
      </c>
      <c r="H39" s="10" t="str" cm="1">
        <f t="array" aca="1" ref="H3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0" spans="1:8" x14ac:dyDescent="0.2">
      <c r="A40" s="8">
        <v>37</v>
      </c>
      <c r="B40" s="8" t="str" cm="1">
        <f t="array" aca="1" ref="B4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FEIJOO ESCOTS, CARLA</v>
      </c>
      <c r="C40" s="8" cm="1">
        <f t="array" aca="1" ref="C40" ca="1">INDEX(tRealF[Año],RANDBETWEEN(1,ROWS(tRealF[Apellido2])))</f>
        <v>2008</v>
      </c>
      <c r="D40" s="8" t="str" cm="1">
        <f t="array" aca="1" ref="D40" ca="1">INDEX(tRealF[clubFórmula],RANDBETWEEN(1,ROWS(tRealF[Apellido2])))</f>
        <v>Club Salvamento y Natación Silla</v>
      </c>
      <c r="E40" s="9">
        <f>tRealF[[#This Row],[Tiempo1]]</f>
        <v>0.10548611111111111</v>
      </c>
      <c r="F40" s="9" t="str">
        <f>_xlfn.LET(
    _xlpm.k, tRealF[[#This Row],[Tiempo2]],
    IF(_xlpm.k="", "", _xlpm.k)
  )</f>
        <v/>
      </c>
      <c r="G40" s="10" t="str">
        <f>_xlfn.LET(
    _xlpm.k, tRealF[[#This Row],[Puntos]],
    IF(_xlpm.k="", "", _xlpm.k)
  )</f>
        <v/>
      </c>
      <c r="H40" s="10" t="str" cm="1">
        <f t="array" aca="1" ref="H4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1" spans="1:8" x14ac:dyDescent="0.2">
      <c r="A41" s="8">
        <v>38</v>
      </c>
      <c r="B41" s="8" t="str" cm="1">
        <f t="array" aca="1" ref="B4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HERGUEDAS IZQUIERDO, CRISTINA</v>
      </c>
      <c r="C41" s="8" cm="1">
        <f t="array" aca="1" ref="C41" ca="1">INDEX(tRealF[Año],RANDBETWEEN(1,ROWS(tRealF[Apellido2])))</f>
        <v>2008</v>
      </c>
      <c r="D41" s="8" t="str" cm="1">
        <f t="array" aca="1" ref="D41" ca="1">INDEX(tRealF[clubFórmula],RANDBETWEEN(1,ROWS(tRealF[Apellido2])))</f>
        <v>Alcarreño de Salvamento y Socorrismo</v>
      </c>
      <c r="E41" s="9">
        <f>tRealF[[#This Row],[Tiempo1]]</f>
        <v>0.10561342592592593</v>
      </c>
      <c r="F41" s="9" t="str">
        <f>_xlfn.LET(
    _xlpm.k, tRealF[[#This Row],[Tiempo2]],
    IF(_xlpm.k="", "", _xlpm.k)
  )</f>
        <v/>
      </c>
      <c r="G41" s="10" t="str">
        <f>_xlfn.LET(
    _xlpm.k, tRealF[[#This Row],[Puntos]],
    IF(_xlpm.k="", "", _xlpm.k)
  )</f>
        <v/>
      </c>
      <c r="H41" s="10" t="str" cm="1">
        <f t="array" aca="1" ref="H4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2" spans="1:8" x14ac:dyDescent="0.2">
      <c r="A42" s="8">
        <v>39</v>
      </c>
      <c r="B42" s="8" t="str" cm="1">
        <f t="array" aca="1" ref="B4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FRANCOS DE LAS HERAS, NEREA</v>
      </c>
      <c r="C42" s="8" cm="1">
        <f t="array" aca="1" ref="C42" ca="1">INDEX(tRealF[Año],RANDBETWEEN(1,ROWS(tRealF[Apellido2])))</f>
        <v>2006</v>
      </c>
      <c r="D42" s="8" t="str" cm="1">
        <f t="array" aca="1" ref="D42" ca="1">INDEX(tRealF[clubFórmula],RANDBETWEEN(1,ROWS(tRealF[Apellido2])))</f>
        <v>Club Natación Guadalajara</v>
      </c>
      <c r="E42" s="9">
        <f>tRealF[[#This Row],[Tiempo1]]</f>
        <v>0.1059837962962963</v>
      </c>
      <c r="F42" s="9" t="str">
        <f>_xlfn.LET(
    _xlpm.k, tRealF[[#This Row],[Tiempo2]],
    IF(_xlpm.k="", "", _xlpm.k)
  )</f>
        <v/>
      </c>
      <c r="G42" s="10" t="str">
        <f>_xlfn.LET(
    _xlpm.k, tRealF[[#This Row],[Puntos]],
    IF(_xlpm.k="", "", _xlpm.k)
  )</f>
        <v/>
      </c>
      <c r="H42" s="10" t="str" cm="1">
        <f t="array" aca="1" ref="H4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3" spans="1:8" x14ac:dyDescent="0.2">
      <c r="A43" s="8">
        <v>40</v>
      </c>
      <c r="B43" s="8" t="str" cm="1">
        <f t="array" aca="1" ref="B4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HERNANDEZ ABASCAL, ÈLIA</v>
      </c>
      <c r="C43" s="8" cm="1">
        <f t="array" aca="1" ref="C43" ca="1">INDEX(tRealF[Año],RANDBETWEEN(1,ROWS(tRealF[Apellido2])))</f>
        <v>2009</v>
      </c>
      <c r="D43" s="8" t="str" cm="1">
        <f t="array" aca="1" ref="D43" ca="1">INDEX(tRealF[clubFórmula],RANDBETWEEN(1,ROWS(tRealF[Apellido2])))</f>
        <v>Club Natació Reus Ploms</v>
      </c>
      <c r="E43" s="9">
        <f>tRealF[[#This Row],[Tiempo1]]</f>
        <v>0.10560185185185185</v>
      </c>
      <c r="F43" s="9" t="str">
        <f>_xlfn.LET(
    _xlpm.k, tRealF[[#This Row],[Tiempo2]],
    IF(_xlpm.k="", "", _xlpm.k)
  )</f>
        <v/>
      </c>
      <c r="G43" s="10" t="str">
        <f>_xlfn.LET(
    _xlpm.k, tRealF[[#This Row],[Puntos]],
    IF(_xlpm.k="", "", _xlpm.k)
  )</f>
        <v/>
      </c>
      <c r="H43" s="10" t="str" cm="1">
        <f t="array" aca="1" ref="H4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4" spans="1:8" x14ac:dyDescent="0.2">
      <c r="A44" s="8">
        <v>41</v>
      </c>
      <c r="B44" s="8" t="str" cm="1">
        <f t="array" aca="1" ref="B4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CARRERA CUADRADO, NEREA</v>
      </c>
      <c r="C44" s="8" cm="1">
        <f t="array" aca="1" ref="C44" ca="1">INDEX(tRealF[Año],RANDBETWEEN(1,ROWS(tRealF[Apellido2])))</f>
        <v>2009</v>
      </c>
      <c r="D44" s="8" t="str" cm="1">
        <f t="array" aca="1" ref="D44" ca="1">INDEX(tRealF[clubFórmula],RANDBETWEEN(1,ROWS(tRealF[Apellido2])))</f>
        <v>Club Natació Reus Ploms</v>
      </c>
      <c r="E44" s="9">
        <f>tRealF[[#This Row],[Tiempo1]]</f>
        <v>0.105625</v>
      </c>
      <c r="F44" s="9" t="str">
        <f>_xlfn.LET(
    _xlpm.k, tRealF[[#This Row],[Tiempo2]],
    IF(_xlpm.k="", "", _xlpm.k)
  )</f>
        <v/>
      </c>
      <c r="G44" s="10" t="str">
        <f>_xlfn.LET(
    _xlpm.k, tRealF[[#This Row],[Puntos]],
    IF(_xlpm.k="", "", _xlpm.k)
  )</f>
        <v/>
      </c>
      <c r="H44" s="10" t="str" cm="1">
        <f t="array" aca="1" ref="H4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5" spans="1:8" x14ac:dyDescent="0.2">
      <c r="A45" s="8">
        <v>42</v>
      </c>
      <c r="B45" s="8" t="str" cm="1">
        <f t="array" aca="1" ref="B4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GARCIA MARTIN, GABRIELA</v>
      </c>
      <c r="C45" s="8" cm="1">
        <f t="array" aca="1" ref="C45" ca="1">INDEX(tRealF[Año],RANDBETWEEN(1,ROWS(tRealF[Apellido2])))</f>
        <v>2010</v>
      </c>
      <c r="D45" s="8" t="str" cm="1">
        <f t="array" aca="1" ref="D45" ca="1">INDEX(tRealF[clubFórmula],RANDBETWEEN(1,ROWS(tRealF[Apellido2])))</f>
        <v>Club Natación y Salvamento Oriol Imperial</v>
      </c>
      <c r="E45" s="9">
        <f>tRealF[[#This Row],[Tiempo1]]</f>
        <v>0.10592592592592592</v>
      </c>
      <c r="F45" s="9" t="str">
        <f>_xlfn.LET(
    _xlpm.k, tRealF[[#This Row],[Tiempo2]],
    IF(_xlpm.k="", "", _xlpm.k)
  )</f>
        <v/>
      </c>
      <c r="G45" s="10" t="str">
        <f>_xlfn.LET(
    _xlpm.k, tRealF[[#This Row],[Puntos]],
    IF(_xlpm.k="", "", _xlpm.k)
  )</f>
        <v/>
      </c>
      <c r="H45" s="10" t="str" cm="1">
        <f t="array" aca="1" ref="H4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6" spans="1:8" x14ac:dyDescent="0.2">
      <c r="A46" s="8">
        <v>43</v>
      </c>
      <c r="B46" s="8" t="str" cm="1">
        <f t="array" aca="1" ref="B4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FREIXAS PENA, ELISA</v>
      </c>
      <c r="C46" s="8" cm="1">
        <f t="array" aca="1" ref="C46" ca="1">INDEX(tRealF[Año],RANDBETWEEN(1,ROWS(tRealF[Apellido2])))</f>
        <v>2009</v>
      </c>
      <c r="D46" s="8" t="str" cm="1">
        <f t="array" aca="1" ref="D46" ca="1">INDEX(tRealF[clubFórmula],RANDBETWEEN(1,ROWS(tRealF[Apellido2])))</f>
        <v>C. D. SOS La Bañeza</v>
      </c>
      <c r="E46" s="9">
        <f>tRealF[[#This Row],[Tiempo1]]</f>
        <v>0.10611111111111111</v>
      </c>
      <c r="F46" s="9" t="str">
        <f>_xlfn.LET(
    _xlpm.k, tRealF[[#This Row],[Tiempo2]],
    IF(_xlpm.k="", "", _xlpm.k)
  )</f>
        <v/>
      </c>
      <c r="G46" s="10" t="str">
        <f>_xlfn.LET(
    _xlpm.k, tRealF[[#This Row],[Puntos]],
    IF(_xlpm.k="", "", _xlpm.k)
  )</f>
        <v/>
      </c>
      <c r="H46" s="10" t="str" cm="1">
        <f t="array" aca="1" ref="H4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7" spans="1:8" x14ac:dyDescent="0.2">
      <c r="A47" s="8">
        <v>44</v>
      </c>
      <c r="B47" s="8" t="str" cm="1">
        <f t="array" aca="1" ref="B4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AZAÑON RUIZ-SANTAQUITERIA, ANDREA</v>
      </c>
      <c r="C47" s="8" cm="1">
        <f t="array" aca="1" ref="C47" ca="1">INDEX(tRealF[Año],RANDBETWEEN(1,ROWS(tRealF[Apellido2])))</f>
        <v>2011</v>
      </c>
      <c r="D47" s="8" t="str" cm="1">
        <f t="array" aca="1" ref="D47" ca="1">INDEX(tRealF[clubFórmula],RANDBETWEEN(1,ROWS(tRealF[Apellido2])))</f>
        <v>Club Natació Reus Ploms</v>
      </c>
      <c r="E47" s="9">
        <f>tRealF[[#This Row],[Tiempo1]]</f>
        <v>0.10659722222222222</v>
      </c>
      <c r="F47" s="9" t="str">
        <f>_xlfn.LET(
    _xlpm.k, tRealF[[#This Row],[Tiempo2]],
    IF(_xlpm.k="", "", _xlpm.k)
  )</f>
        <v/>
      </c>
      <c r="G47" s="10" t="str">
        <f>_xlfn.LET(
    _xlpm.k, tRealF[[#This Row],[Puntos]],
    IF(_xlpm.k="", "", _xlpm.k)
  )</f>
        <v/>
      </c>
      <c r="H47" s="10" t="str" cm="1">
        <f t="array" aca="1" ref="H4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8" spans="1:8" x14ac:dyDescent="0.2">
      <c r="A48" s="8">
        <v>45</v>
      </c>
      <c r="B48" s="8" t="str" cm="1">
        <f t="array" aca="1" ref="B4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GARCIA MANZANARES, ALBA</v>
      </c>
      <c r="C48" s="8" cm="1">
        <f t="array" aca="1" ref="C48" ca="1">INDEX(tRealF[Año],RANDBETWEEN(1,ROWS(tRealF[Apellido2])))</f>
        <v>2008</v>
      </c>
      <c r="D48" s="8" t="str" cm="1">
        <f t="array" aca="1" ref="D48" ca="1">INDEX(tRealF[clubFórmula],RANDBETWEEN(1,ROWS(tRealF[Apellido2])))</f>
        <v>Club Deportivo Oca S.O.S</v>
      </c>
      <c r="E48" s="9">
        <f>tRealF[[#This Row],[Tiempo1]]</f>
        <v>0.10651620370370371</v>
      </c>
      <c r="F48" s="9" t="str">
        <f>_xlfn.LET(
    _xlpm.k, tRealF[[#This Row],[Tiempo2]],
    IF(_xlpm.k="", "", _xlpm.k)
  )</f>
        <v/>
      </c>
      <c r="G48" s="10" t="str">
        <f>_xlfn.LET(
    _xlpm.k, tRealF[[#This Row],[Puntos]],
    IF(_xlpm.k="", "", _xlpm.k)
  )</f>
        <v/>
      </c>
      <c r="H48" s="10" t="str" cm="1">
        <f t="array" aca="1" ref="H4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9" spans="1:8" x14ac:dyDescent="0.2">
      <c r="A49" s="8">
        <v>46</v>
      </c>
      <c r="B49" s="8" t="str" cm="1">
        <f t="array" aca="1" ref="B4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FEIJOO ABASCAL, SELENE</v>
      </c>
      <c r="C49" s="8" cm="1">
        <f t="array" aca="1" ref="C49" ca="1">INDEX(tRealF[Año],RANDBETWEEN(1,ROWS(tRealF[Apellido2])))</f>
        <v>2008</v>
      </c>
      <c r="D49" s="8" t="str" cm="1">
        <f t="array" aca="1" ref="D49" ca="1">INDEX(tRealF[clubFórmula],RANDBETWEEN(1,ROWS(tRealF[Apellido2])))</f>
        <v>Real Club Náutico de Tenerife</v>
      </c>
      <c r="E49" s="9">
        <f>tRealF[[#This Row],[Tiempo1]]</f>
        <v>0.10681712962962962</v>
      </c>
      <c r="F49" s="9" t="str">
        <f>_xlfn.LET(
    _xlpm.k, tRealF[[#This Row],[Tiempo2]],
    IF(_xlpm.k="", "", _xlpm.k)
  )</f>
        <v/>
      </c>
      <c r="G49" s="10" t="str">
        <f>_xlfn.LET(
    _xlpm.k, tRealF[[#This Row],[Puntos]],
    IF(_xlpm.k="", "", _xlpm.k)
  )</f>
        <v/>
      </c>
      <c r="H49" s="10" t="str" cm="1">
        <f t="array" aca="1" ref="H4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0" spans="1:8" x14ac:dyDescent="0.2">
      <c r="A50" s="8">
        <v>47</v>
      </c>
      <c r="B50" s="8" t="str" cm="1">
        <f t="array" aca="1" ref="B5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CAMPO GÓMEZ, ÈLIA</v>
      </c>
      <c r="C50" s="8" cm="1">
        <f t="array" aca="1" ref="C50" ca="1">INDEX(tRealF[Año],RANDBETWEEN(1,ROWS(tRealF[Apellido2])))</f>
        <v>2009</v>
      </c>
      <c r="D50" s="8" t="str" cm="1">
        <f t="array" aca="1" ref="D50" ca="1">INDEX(tRealF[clubFórmula],RANDBETWEEN(1,ROWS(tRealF[Apellido2])))</f>
        <v>Club Salvamento y Natación Silla</v>
      </c>
      <c r="E50" s="9">
        <f>tRealF[[#This Row],[Tiempo1]]</f>
        <v>0.10690972222222223</v>
      </c>
      <c r="F50" s="9" t="str">
        <f>_xlfn.LET(
    _xlpm.k, tRealF[[#This Row],[Tiempo2]],
    IF(_xlpm.k="", "", _xlpm.k)
  )</f>
        <v/>
      </c>
      <c r="G50" s="10" t="str">
        <f>_xlfn.LET(
    _xlpm.k, tRealF[[#This Row],[Puntos]],
    IF(_xlpm.k="", "", _xlpm.k)
  )</f>
        <v/>
      </c>
      <c r="H50" s="10" t="str" cm="1">
        <f t="array" aca="1" ref="H5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1" spans="1:8" x14ac:dyDescent="0.2">
      <c r="A51" s="8">
        <v>48</v>
      </c>
      <c r="B51" s="8" t="str" cm="1">
        <f t="array" aca="1" ref="B5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SAIZ NAVAS, PAULA</v>
      </c>
      <c r="C51" s="8" cm="1">
        <f t="array" aca="1" ref="C51" ca="1">INDEX(tRealF[Año],RANDBETWEEN(1,ROWS(tRealF[Apellido2])))</f>
        <v>2009</v>
      </c>
      <c r="D51" s="8" t="str" cm="1">
        <f t="array" aca="1" ref="D51" ca="1">INDEX(tRealF[clubFórmula],RANDBETWEEN(1,ROWS(tRealF[Apellido2])))</f>
        <v>Club Laguna SOS</v>
      </c>
      <c r="E51" s="9">
        <f>tRealF[[#This Row],[Tiempo1]]</f>
        <v>0.1075</v>
      </c>
      <c r="F51" s="9" t="str">
        <f>_xlfn.LET(
    _xlpm.k, tRealF[[#This Row],[Tiempo2]],
    IF(_xlpm.k="", "", _xlpm.k)
  )</f>
        <v/>
      </c>
      <c r="G51" s="10" t="str">
        <f>_xlfn.LET(
    _xlpm.k, tRealF[[#This Row],[Puntos]],
    IF(_xlpm.k="", "", _xlpm.k)
  )</f>
        <v/>
      </c>
      <c r="H51" s="10" t="str" cm="1">
        <f t="array" aca="1" ref="H5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2" spans="1:8" x14ac:dyDescent="0.2">
      <c r="A52" s="8">
        <v>49</v>
      </c>
      <c r="B52" s="8" t="str" cm="1">
        <f t="array" aca="1" ref="B5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DA COSTA MARTINEZ, MARTA</v>
      </c>
      <c r="C52" s="8" cm="1">
        <f t="array" aca="1" ref="C52" ca="1">INDEX(tRealF[Año],RANDBETWEEN(1,ROWS(tRealF[Apellido2])))</f>
        <v>2006</v>
      </c>
      <c r="D52" s="8" t="str" cm="1">
        <f t="array" aca="1" ref="D52" ca="1">INDEX(tRealF[clubFórmula],RANDBETWEEN(1,ROWS(tRealF[Apellido2])))</f>
        <v>Club Multideporte Valladolid</v>
      </c>
      <c r="E52" s="9">
        <f>tRealF[[#This Row],[Tiempo1]]</f>
        <v>0.1076388888888889</v>
      </c>
      <c r="F52" s="9" t="str">
        <f>_xlfn.LET(
    _xlpm.k, tRealF[[#This Row],[Tiempo2]],
    IF(_xlpm.k="", "", _xlpm.k)
  )</f>
        <v/>
      </c>
      <c r="G52" s="10" t="str">
        <f>_xlfn.LET(
    _xlpm.k, tRealF[[#This Row],[Puntos]],
    IF(_xlpm.k="", "", _xlpm.k)
  )</f>
        <v/>
      </c>
      <c r="H52" s="10" t="str" cm="1">
        <f t="array" aca="1" ref="H5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3" spans="1:8" x14ac:dyDescent="0.2">
      <c r="A53" s="8">
        <v>50</v>
      </c>
      <c r="B53" s="8" t="str" cm="1">
        <f t="array" aca="1" ref="B5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DA COSTA MESIAS, SANDRA</v>
      </c>
      <c r="C53" s="8" cm="1">
        <f t="array" aca="1" ref="C53" ca="1">INDEX(tRealF[Año],RANDBETWEEN(1,ROWS(tRealF[Apellido2])))</f>
        <v>2008</v>
      </c>
      <c r="D53" s="8" t="str" cm="1">
        <f t="array" aca="1" ref="D53" ca="1">INDEX(tRealF[clubFórmula],RANDBETWEEN(1,ROWS(tRealF[Apellido2])))</f>
        <v>Club Deportivo Unión Esgueva SOSVA</v>
      </c>
      <c r="E53" s="9">
        <f>tRealF[[#This Row],[Tiempo1]]</f>
        <v>0.10777777777777778</v>
      </c>
      <c r="F53" s="9" t="str">
        <f>_xlfn.LET(
    _xlpm.k, tRealF[[#This Row],[Tiempo2]],
    IF(_xlpm.k="", "", _xlpm.k)
  )</f>
        <v/>
      </c>
      <c r="G53" s="10" t="str">
        <f>_xlfn.LET(
    _xlpm.k, tRealF[[#This Row],[Puntos]],
    IF(_xlpm.k="", "", _xlpm.k)
  )</f>
        <v/>
      </c>
      <c r="H53" s="10" t="str" cm="1">
        <f t="array" aca="1" ref="H5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4" spans="1:8" x14ac:dyDescent="0.2">
      <c r="A54" s="8">
        <v>51</v>
      </c>
      <c r="B54" s="8" t="str" cm="1">
        <f t="array" aca="1" ref="B5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CARMONA ESCOTS, MARTA</v>
      </c>
      <c r="C54" s="8" cm="1">
        <f t="array" aca="1" ref="C54" ca="1">INDEX(tRealF[Año],RANDBETWEEN(1,ROWS(tRealF[Apellido2])))</f>
        <v>2010</v>
      </c>
      <c r="D54" s="8" t="str" cm="1">
        <f t="array" aca="1" ref="D54" ca="1">INDEX(tRealF[clubFórmula],RANDBETWEEN(1,ROWS(tRealF[Apellido2])))</f>
        <v>Club de Salvamento SVAT - Tarancón</v>
      </c>
      <c r="E54" s="9">
        <f>tRealF[[#This Row],[Tiempo1]]</f>
        <v>0.10767361111111111</v>
      </c>
      <c r="F54" s="9" t="str">
        <f>_xlfn.LET(
    _xlpm.k, tRealF[[#This Row],[Tiempo2]],
    IF(_xlpm.k="", "", _xlpm.k)
  )</f>
        <v/>
      </c>
      <c r="G54" s="10" t="str">
        <f>_xlfn.LET(
    _xlpm.k, tRealF[[#This Row],[Puntos]],
    IF(_xlpm.k="", "", _xlpm.k)
  )</f>
        <v/>
      </c>
      <c r="H54" s="10" t="str" cm="1">
        <f t="array" aca="1" ref="H5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5" spans="1:8" x14ac:dyDescent="0.2">
      <c r="A55" s="8">
        <v>52</v>
      </c>
      <c r="B55" s="8" t="str" cm="1">
        <f t="array" aca="1" ref="B5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CONTRERAS AFONSO, BEATRIZ</v>
      </c>
      <c r="C55" s="8" cm="1">
        <f t="array" aca="1" ref="C55" ca="1">INDEX(tRealF[Año],RANDBETWEEN(1,ROWS(tRealF[Apellido2])))</f>
        <v>2000</v>
      </c>
      <c r="D55" s="8" t="str" cm="1">
        <f t="array" aca="1" ref="D55" ca="1">INDEX(tRealF[clubFórmula],RANDBETWEEN(1,ROWS(tRealF[Apellido2])))</f>
        <v>Club Salvamento Vilagarcía</v>
      </c>
      <c r="E55" s="9">
        <f>tRealF[[#This Row],[Tiempo1]]</f>
        <v>0.10769675925925926</v>
      </c>
      <c r="F55" s="9" t="str">
        <f>_xlfn.LET(
    _xlpm.k, tRealF[[#This Row],[Tiempo2]],
    IF(_xlpm.k="", "", _xlpm.k)
  )</f>
        <v/>
      </c>
      <c r="G55" s="10" t="str">
        <f>_xlfn.LET(
    _xlpm.k, tRealF[[#This Row],[Puntos]],
    IF(_xlpm.k="", "", _xlpm.k)
  )</f>
        <v/>
      </c>
      <c r="H55" s="10" t="str" cm="1">
        <f t="array" aca="1" ref="H5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6" spans="1:8" x14ac:dyDescent="0.2">
      <c r="A56" s="8">
        <v>53</v>
      </c>
      <c r="B56" s="8" t="str" cm="1">
        <f t="array" aca="1" ref="B5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CAMPANARIO RADIO, LUCIA</v>
      </c>
      <c r="C56" s="8" cm="1">
        <f t="array" aca="1" ref="C56" ca="1">INDEX(tRealF[Año],RANDBETWEEN(1,ROWS(tRealF[Apellido2])))</f>
        <v>2008</v>
      </c>
      <c r="D56" s="8" t="str" cm="1">
        <f t="array" aca="1" ref="D56" ca="1">INDEX(tRealF[clubFórmula],RANDBETWEEN(1,ROWS(tRealF[Apellido2])))</f>
        <v>C. D. SOS La Bañeza</v>
      </c>
      <c r="E56" s="9">
        <f>tRealF[[#This Row],[Tiempo1]]</f>
        <v>0.10781250000000001</v>
      </c>
      <c r="F56" s="9" t="str">
        <f>_xlfn.LET(
    _xlpm.k, tRealF[[#This Row],[Tiempo2]],
    IF(_xlpm.k="", "", _xlpm.k)
  )</f>
        <v/>
      </c>
      <c r="G56" s="10" t="str">
        <f>_xlfn.LET(
    _xlpm.k, tRealF[[#This Row],[Puntos]],
    IF(_xlpm.k="", "", _xlpm.k)
  )</f>
        <v/>
      </c>
      <c r="H56" s="10" t="str" cm="1">
        <f t="array" aca="1" ref="H5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7" spans="1:8" x14ac:dyDescent="0.2">
      <c r="A57" s="8">
        <v>54</v>
      </c>
      <c r="B57" s="8" t="str" cm="1">
        <f t="array" aca="1" ref="B5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PAYOLA GONZALEZ, BLANCA</v>
      </c>
      <c r="C57" s="8" cm="1">
        <f t="array" aca="1" ref="C57" ca="1">INDEX(tRealF[Año],RANDBETWEEN(1,ROWS(tRealF[Apellido2])))</f>
        <v>2009</v>
      </c>
      <c r="D57" s="8" t="str" cm="1">
        <f t="array" aca="1" ref="D57" ca="1">INDEX(tRealF[clubFórmula],RANDBETWEEN(1,ROWS(tRealF[Apellido2])))</f>
        <v>Club Deportivo Unión Esgueva SOSVA</v>
      </c>
      <c r="E57" s="9">
        <f>tRealF[[#This Row],[Tiempo1]]</f>
        <v>0.10790509259259259</v>
      </c>
      <c r="F57" s="9" t="str">
        <f>_xlfn.LET(
    _xlpm.k, tRealF[[#This Row],[Tiempo2]],
    IF(_xlpm.k="", "", _xlpm.k)
  )</f>
        <v/>
      </c>
      <c r="G57" s="10" t="str">
        <f>_xlfn.LET(
    _xlpm.k, tRealF[[#This Row],[Puntos]],
    IF(_xlpm.k="", "", _xlpm.k)
  )</f>
        <v/>
      </c>
      <c r="H57" s="10" t="str" cm="1">
        <f t="array" aca="1" ref="H5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8" spans="1:8" x14ac:dyDescent="0.2">
      <c r="A58" s="8">
        <v>55</v>
      </c>
      <c r="B58" s="8" t="str" cm="1">
        <f t="array" aca="1" ref="B5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AZAÑON RODERO, PAULA</v>
      </c>
      <c r="C58" s="8" cm="1">
        <f t="array" aca="1" ref="C58" ca="1">INDEX(tRealF[Año],RANDBETWEEN(1,ROWS(tRealF[Apellido2])))</f>
        <v>2009</v>
      </c>
      <c r="D58" s="8" t="str" cm="1">
        <f t="array" aca="1" ref="D58" ca="1">INDEX(tRealF[clubFórmula],RANDBETWEEN(1,ROWS(tRealF[Apellido2])))</f>
        <v>Club Natació Salou</v>
      </c>
      <c r="E58" s="9">
        <f>tRealF[[#This Row],[Tiempo1]]</f>
        <v>0.10813657407407408</v>
      </c>
      <c r="F58" s="9" t="str">
        <f>_xlfn.LET(
    _xlpm.k, tRealF[[#This Row],[Tiempo2]],
    IF(_xlpm.k="", "", _xlpm.k)
  )</f>
        <v/>
      </c>
      <c r="G58" s="10" t="str">
        <f>_xlfn.LET(
    _xlpm.k, tRealF[[#This Row],[Puntos]],
    IF(_xlpm.k="", "", _xlpm.k)
  )</f>
        <v/>
      </c>
      <c r="H58" s="10" t="str" cm="1">
        <f t="array" aca="1" ref="H5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9" spans="1:8" x14ac:dyDescent="0.2">
      <c r="A59" s="8">
        <v>56</v>
      </c>
      <c r="B59" s="8" t="str" cm="1">
        <f t="array" aca="1" ref="B5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BOLADO TORRENT, CAROLINA</v>
      </c>
      <c r="C59" s="8" cm="1">
        <f t="array" aca="1" ref="C59" ca="1">INDEX(tRealF[Año],RANDBETWEEN(1,ROWS(tRealF[Apellido2])))</f>
        <v>2010</v>
      </c>
      <c r="D59" s="8" t="str" cm="1">
        <f t="array" aca="1" ref="D59" ca="1">INDEX(tRealF[clubFórmula],RANDBETWEEN(1,ROWS(tRealF[Apellido2])))</f>
        <v>Club Natació Banyoles</v>
      </c>
      <c r="E59" s="9">
        <f>tRealF[[#This Row],[Tiempo1]]</f>
        <v>0.10856481481481481</v>
      </c>
      <c r="F59" s="9" t="str">
        <f>_xlfn.LET(
    _xlpm.k, tRealF[[#This Row],[Tiempo2]],
    IF(_xlpm.k="", "", _xlpm.k)
  )</f>
        <v/>
      </c>
      <c r="G59" s="10" t="str">
        <f>_xlfn.LET(
    _xlpm.k, tRealF[[#This Row],[Puntos]],
    IF(_xlpm.k="", "", _xlpm.k)
  )</f>
        <v/>
      </c>
      <c r="H59" s="10" t="str" cm="1">
        <f t="array" aca="1" ref="H5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0" spans="1:8" x14ac:dyDescent="0.2">
      <c r="A60" s="8">
        <v>57</v>
      </c>
      <c r="B60" s="8" t="str" cm="1">
        <f t="array" aca="1" ref="B6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LLANOS GUZMAN, CARLOTTA</v>
      </c>
      <c r="C60" s="8" cm="1">
        <f t="array" aca="1" ref="C60" ca="1">INDEX(tRealF[Año],RANDBETWEEN(1,ROWS(tRealF[Apellido2])))</f>
        <v>2008</v>
      </c>
      <c r="D60" s="8" t="str" cm="1">
        <f t="array" aca="1" ref="D60" ca="1">INDEX(tRealF[clubFórmula],RANDBETWEEN(1,ROWS(tRealF[Apellido2])))</f>
        <v>Club Deportivo Talasa Torremolinos</v>
      </c>
      <c r="E60" s="9">
        <f>tRealF[[#This Row],[Tiempo1]]</f>
        <v>0.10870370370370371</v>
      </c>
      <c r="F60" s="9" t="str">
        <f>_xlfn.LET(
    _xlpm.k, tRealF[[#This Row],[Tiempo2]],
    IF(_xlpm.k="", "", _xlpm.k)
  )</f>
        <v/>
      </c>
      <c r="G60" s="10" t="str">
        <f>_xlfn.LET(
    _xlpm.k, tRealF[[#This Row],[Puntos]],
    IF(_xlpm.k="", "", _xlpm.k)
  )</f>
        <v/>
      </c>
      <c r="H60" s="10" t="str" cm="1">
        <f t="array" aca="1" ref="H6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1" spans="1:8" x14ac:dyDescent="0.2">
      <c r="A61" s="8">
        <v>58</v>
      </c>
      <c r="B61" s="8" t="str" cm="1">
        <f t="array" aca="1" ref="B6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PORRAS MASERGAS, LAURA</v>
      </c>
      <c r="C61" s="8" cm="1">
        <f t="array" aca="1" ref="C61" ca="1">INDEX(tRealF[Año],RANDBETWEEN(1,ROWS(tRealF[Apellido2])))</f>
        <v>2005</v>
      </c>
      <c r="D61" s="8" t="str" cm="1">
        <f t="array" aca="1" ref="D61" ca="1">INDEX(tRealF[clubFórmula],RANDBETWEEN(1,ROWS(tRealF[Apellido2])))</f>
        <v>Club Acuático Umia</v>
      </c>
      <c r="E61" s="9">
        <f>tRealF[[#This Row],[Tiempo1]]</f>
        <v>0.10942129629629629</v>
      </c>
      <c r="F61" s="9" t="str">
        <f>_xlfn.LET(
    _xlpm.k, tRealF[[#This Row],[Tiempo2]],
    IF(_xlpm.k="", "", _xlpm.k)
  )</f>
        <v/>
      </c>
      <c r="G61" s="10" t="str">
        <f>_xlfn.LET(
    _xlpm.k, tRealF[[#This Row],[Puntos]],
    IF(_xlpm.k="", "", _xlpm.k)
  )</f>
        <v/>
      </c>
      <c r="H61" s="10" t="str" cm="1">
        <f t="array" aca="1" ref="H6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2" spans="1:8" x14ac:dyDescent="0.2">
      <c r="A62" s="8">
        <v>59</v>
      </c>
      <c r="B62" s="8" t="str" cm="1">
        <f t="array" aca="1" ref="B6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JIMENEZ QUEMADA, CAROLINA</v>
      </c>
      <c r="C62" s="8" cm="1">
        <f t="array" aca="1" ref="C62" ca="1">INDEX(tRealF[Año],RANDBETWEEN(1,ROWS(tRealF[Apellido2])))</f>
        <v>2009</v>
      </c>
      <c r="D62" s="8" t="str" cm="1">
        <f t="array" aca="1" ref="D62" ca="1">INDEX(tRealF[clubFórmula],RANDBETWEEN(1,ROWS(tRealF[Apellido2])))</f>
        <v>Club Natación Guadalajara</v>
      </c>
      <c r="E62" s="9">
        <f>tRealF[[#This Row],[Tiempo1]]</f>
        <v>0.10975694444444445</v>
      </c>
      <c r="F62" s="9" t="str">
        <f>_xlfn.LET(
    _xlpm.k, tRealF[[#This Row],[Tiempo2]],
    IF(_xlpm.k="", "", _xlpm.k)
  )</f>
        <v/>
      </c>
      <c r="G62" s="10" t="str">
        <f>_xlfn.LET(
    _xlpm.k, tRealF[[#This Row],[Puntos]],
    IF(_xlpm.k="", "", _xlpm.k)
  )</f>
        <v/>
      </c>
      <c r="H62" s="10" t="str" cm="1">
        <f t="array" aca="1" ref="H6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3" spans="1:8" x14ac:dyDescent="0.2">
      <c r="A63" s="8">
        <v>60</v>
      </c>
      <c r="B63" s="8" t="str" cm="1">
        <f t="array" aca="1" ref="B6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CARMONA GOMEZ, PATRICIA</v>
      </c>
      <c r="C63" s="8" cm="1">
        <f t="array" aca="1" ref="C63" ca="1">INDEX(tRealF[Año],RANDBETWEEN(1,ROWS(tRealF[Apellido2])))</f>
        <v>2009</v>
      </c>
      <c r="D63" s="8" t="str" cm="1">
        <f t="array" aca="1" ref="D63" ca="1">INDEX(tRealF[clubFórmula],RANDBETWEEN(1,ROWS(tRealF[Apellido2])))</f>
        <v>Club A.C.N. Marisma</v>
      </c>
      <c r="E63" s="9">
        <f>tRealF[[#This Row],[Tiempo1]]</f>
        <v>0.11006944444444444</v>
      </c>
      <c r="F63" s="9" t="str">
        <f>_xlfn.LET(
    _xlpm.k, tRealF[[#This Row],[Tiempo2]],
    IF(_xlpm.k="", "", _xlpm.k)
  )</f>
        <v/>
      </c>
      <c r="G63" s="10" t="str">
        <f>_xlfn.LET(
    _xlpm.k, tRealF[[#This Row],[Puntos]],
    IF(_xlpm.k="", "", _xlpm.k)
  )</f>
        <v/>
      </c>
      <c r="H63" s="10" t="str" cm="1">
        <f t="array" aca="1" ref="H6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4" spans="1:8" x14ac:dyDescent="0.2">
      <c r="A64" s="8">
        <v>61</v>
      </c>
      <c r="B64" s="8" t="str" cm="1">
        <f t="array" aca="1" ref="B6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ESPADA , ADRIANA</v>
      </c>
      <c r="C64" s="8" cm="1">
        <f t="array" aca="1" ref="C64" ca="1">INDEX(tRealF[Año],RANDBETWEEN(1,ROWS(tRealF[Apellido2])))</f>
        <v>2010</v>
      </c>
      <c r="D64" s="8" t="str" cm="1">
        <f t="array" aca="1" ref="D64" ca="1">INDEX(tRealF[clubFórmula],RANDBETWEEN(1,ROWS(tRealF[Apellido2])))</f>
        <v>Alcarreño de Salvamento y Socorrismo</v>
      </c>
      <c r="E64" s="9">
        <f>tRealF[[#This Row],[Tiempo1]]</f>
        <v>0.11013888888888888</v>
      </c>
      <c r="F64" s="9" t="str">
        <f>_xlfn.LET(
    _xlpm.k, tRealF[[#This Row],[Tiempo2]],
    IF(_xlpm.k="", "", _xlpm.k)
  )</f>
        <v/>
      </c>
      <c r="G64" s="10" t="str">
        <f>_xlfn.LET(
    _xlpm.k, tRealF[[#This Row],[Puntos]],
    IF(_xlpm.k="", "", _xlpm.k)
  )</f>
        <v/>
      </c>
      <c r="H64" s="10" t="str" cm="1">
        <f t="array" aca="1" ref="H6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5" spans="1:8" x14ac:dyDescent="0.2">
      <c r="A65" s="8">
        <v>62</v>
      </c>
      <c r="B65" s="8" t="str" cm="1">
        <f t="array" aca="1" ref="B6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AZAÑON JORGE, ALBA</v>
      </c>
      <c r="C65" s="8" cm="1">
        <f t="array" aca="1" ref="C65" ca="1">INDEX(tRealF[Año],RANDBETWEEN(1,ROWS(tRealF[Apellido2])))</f>
        <v>2000</v>
      </c>
      <c r="D65" s="8" t="str" cm="1">
        <f t="array" aca="1" ref="D65" ca="1">INDEX(tRealF[clubFórmula],RANDBETWEEN(1,ROWS(tRealF[Apellido2])))</f>
        <v>Asociación Deportiva Natación Cáceres</v>
      </c>
      <c r="E65" s="9">
        <f>tRealF[[#This Row],[Tiempo1]]</f>
        <v>0.10975694444444445</v>
      </c>
      <c r="F65" s="9" t="str">
        <f>_xlfn.LET(
    _xlpm.k, tRealF[[#This Row],[Tiempo2]],
    IF(_xlpm.k="", "", _xlpm.k)
  )</f>
        <v/>
      </c>
      <c r="G65" s="10" t="str">
        <f>_xlfn.LET(
    _xlpm.k, tRealF[[#This Row],[Puntos]],
    IF(_xlpm.k="", "", _xlpm.k)
  )</f>
        <v/>
      </c>
      <c r="H65" s="10" t="str" cm="1">
        <f t="array" aca="1" ref="H6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6" spans="1:8" x14ac:dyDescent="0.2">
      <c r="A66" s="8">
        <v>63</v>
      </c>
      <c r="B66" s="8" t="str" cm="1">
        <f t="array" aca="1" ref="B6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VALDERREY BIENVENIDO, ERIKA</v>
      </c>
      <c r="C66" s="8" cm="1">
        <f t="array" aca="1" ref="C66" ca="1">INDEX(tRealF[Año],RANDBETWEEN(1,ROWS(tRealF[Apellido2])))</f>
        <v>2010</v>
      </c>
      <c r="D66" s="8" t="str" cm="1">
        <f t="array" aca="1" ref="D66" ca="1">INDEX(tRealF[clubFórmula],RANDBETWEEN(1,ROWS(tRealF[Apellido2])))</f>
        <v>C. D. SOS La Bañeza</v>
      </c>
      <c r="E66" s="9">
        <f>tRealF[[#This Row],[Tiempo1]]</f>
        <v>0.10976851851851852</v>
      </c>
      <c r="F66" s="9" t="str">
        <f>_xlfn.LET(
    _xlpm.k, tRealF[[#This Row],[Tiempo2]],
    IF(_xlpm.k="", "", _xlpm.k)
  )</f>
        <v/>
      </c>
      <c r="G66" s="10" t="str">
        <f>_xlfn.LET(
    _xlpm.k, tRealF[[#This Row],[Puntos]],
    IF(_xlpm.k="", "", _xlpm.k)
  )</f>
        <v/>
      </c>
      <c r="H66" s="10" t="str" cm="1">
        <f t="array" aca="1" ref="H6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7" spans="1:8" x14ac:dyDescent="0.2">
      <c r="A67" s="8">
        <v>64</v>
      </c>
      <c r="B67" s="8" t="str" cm="1">
        <f t="array" aca="1" ref="B6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SANCHEZ DIAZ, NEREA</v>
      </c>
      <c r="C67" s="8" cm="1">
        <f t="array" aca="1" ref="C67" ca="1">INDEX(tRealF[Año],RANDBETWEEN(1,ROWS(tRealF[Apellido2])))</f>
        <v>2010</v>
      </c>
      <c r="D67" s="8" t="str" cm="1">
        <f t="array" aca="1" ref="D67" ca="1">INDEX(tRealF[clubFórmula],RANDBETWEEN(1,ROWS(tRealF[Apellido2])))</f>
        <v>Club Natación Red Mar Top Ten Alicante</v>
      </c>
      <c r="E67" s="9">
        <f>tRealF[[#This Row],[Tiempo1]]</f>
        <v>0.10995370370370371</v>
      </c>
      <c r="F67" s="9" t="str">
        <f>_xlfn.LET(
    _xlpm.k, tRealF[[#This Row],[Tiempo2]],
    IF(_xlpm.k="", "", _xlpm.k)
  )</f>
        <v/>
      </c>
      <c r="G67" s="10" t="str">
        <f>_xlfn.LET(
    _xlpm.k, tRealF[[#This Row],[Puntos]],
    IF(_xlpm.k="", "", _xlpm.k)
  )</f>
        <v/>
      </c>
      <c r="H67" s="10" t="str" cm="1">
        <f t="array" aca="1" ref="H6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8" spans="1:8" x14ac:dyDescent="0.2">
      <c r="A68" s="8">
        <v>65</v>
      </c>
      <c r="B68" s="8" t="str" cm="1">
        <f t="array" aca="1" ref="B6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REMUZGO AMADOR, BERTA</v>
      </c>
      <c r="C68" s="8" cm="1">
        <f t="array" aca="1" ref="C68" ca="1">INDEX(tRealF[Año],RANDBETWEEN(1,ROWS(tRealF[Apellido2])))</f>
        <v>2009</v>
      </c>
      <c r="D68" s="8" t="str" cm="1">
        <f t="array" aca="1" ref="D68" ca="1">INDEX(tRealF[clubFórmula],RANDBETWEEN(1,ROWS(tRealF[Apellido2])))</f>
        <v>Alcarreño de Salvamento y Socorrismo</v>
      </c>
      <c r="E68" s="9">
        <f>tRealF[[#This Row],[Tiempo1]]</f>
        <v>0.11010416666666667</v>
      </c>
      <c r="F68" s="9" t="str">
        <f>_xlfn.LET(
    _xlpm.k, tRealF[[#This Row],[Tiempo2]],
    IF(_xlpm.k="", "", _xlpm.k)
  )</f>
        <v/>
      </c>
      <c r="G68" s="10" t="str">
        <f>_xlfn.LET(
    _xlpm.k, tRealF[[#This Row],[Puntos]],
    IF(_xlpm.k="", "", _xlpm.k)
  )</f>
        <v/>
      </c>
      <c r="H68" s="10" t="str" cm="1">
        <f t="array" aca="1" ref="H6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9" spans="1:8" x14ac:dyDescent="0.2">
      <c r="A69" s="8">
        <v>66</v>
      </c>
      <c r="B69" s="8" t="str" cm="1">
        <f t="array" aca="1" ref="B6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SAIZ GOMEZ, CARLOTTA</v>
      </c>
      <c r="C69" s="8" cm="1">
        <f t="array" aca="1" ref="C69" ca="1">INDEX(tRealF[Año],RANDBETWEEN(1,ROWS(tRealF[Apellido2])))</f>
        <v>2005</v>
      </c>
      <c r="D69" s="8" t="str" cm="1">
        <f t="array" aca="1" ref="D69" ca="1">INDEX(tRealF[clubFórmula],RANDBETWEEN(1,ROWS(tRealF[Apellido2])))</f>
        <v>Club Natació Salou</v>
      </c>
      <c r="E69" s="9">
        <f>tRealF[[#This Row],[Tiempo1]]</f>
        <v>0.1104861111111111</v>
      </c>
      <c r="F69" s="9" t="str">
        <f>_xlfn.LET(
    _xlpm.k, tRealF[[#This Row],[Tiempo2]],
    IF(_xlpm.k="", "", _xlpm.k)
  )</f>
        <v/>
      </c>
      <c r="G69" s="10" t="str">
        <f>_xlfn.LET(
    _xlpm.k, tRealF[[#This Row],[Puntos]],
    IF(_xlpm.k="", "", _xlpm.k)
  )</f>
        <v/>
      </c>
      <c r="H69" s="10" t="str" cm="1">
        <f t="array" aca="1" ref="H6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0" spans="1:8" x14ac:dyDescent="0.2">
      <c r="A70" s="8">
        <v>67</v>
      </c>
      <c r="B70" s="8" t="str" cm="1">
        <f t="array" aca="1" ref="B7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CUERVO FERNANDEZ, GABRIELA</v>
      </c>
      <c r="C70" s="8" cm="1">
        <f t="array" aca="1" ref="C70" ca="1">INDEX(tRealF[Año],RANDBETWEEN(1,ROWS(tRealF[Apellido2])))</f>
        <v>2009</v>
      </c>
      <c r="D70" s="8" t="str" cm="1">
        <f t="array" aca="1" ref="D70" ca="1">INDEX(tRealF[clubFórmula],RANDBETWEEN(1,ROWS(tRealF[Apellido2])))</f>
        <v>Club Salvamento Vilagarcía</v>
      </c>
      <c r="E70" s="9">
        <f>tRealF[[#This Row],[Tiempo1]]</f>
        <v>0.11196759259259259</v>
      </c>
      <c r="F70" s="9" t="str">
        <f>_xlfn.LET(
    _xlpm.k, tRealF[[#This Row],[Tiempo2]],
    IF(_xlpm.k="", "", _xlpm.k)
  )</f>
        <v/>
      </c>
      <c r="G70" s="10" t="str">
        <f>_xlfn.LET(
    _xlpm.k, tRealF[[#This Row],[Puntos]],
    IF(_xlpm.k="", "", _xlpm.k)
  )</f>
        <v/>
      </c>
      <c r="H70" s="10" t="str" cm="1">
        <f t="array" aca="1" ref="H7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1" spans="1:8" x14ac:dyDescent="0.2">
      <c r="A71" s="8">
        <v>68</v>
      </c>
      <c r="B71" s="8" t="str" cm="1">
        <f t="array" aca="1" ref="B7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RUIZ CERRATO, PATRICIA</v>
      </c>
      <c r="C71" s="8" cm="1">
        <f t="array" aca="1" ref="C71" ca="1">INDEX(tRealF[Año],RANDBETWEEN(1,ROWS(tRealF[Apellido2])))</f>
        <v>2003</v>
      </c>
      <c r="D71" s="8" t="str" cm="1">
        <f t="array" aca="1" ref="D71" ca="1">INDEX(tRealF[clubFórmula],RANDBETWEEN(1,ROWS(tRealF[Apellido2])))</f>
        <v>Club Natación y Salvamento Oriol Imperial</v>
      </c>
      <c r="E71" s="9">
        <f>tRealF[[#This Row],[Tiempo1]]</f>
        <v>0.11181712962962963</v>
      </c>
      <c r="F71" s="9" t="str">
        <f>_xlfn.LET(
    _xlpm.k, tRealF[[#This Row],[Tiempo2]],
    IF(_xlpm.k="", "", _xlpm.k)
  )</f>
        <v/>
      </c>
      <c r="G71" s="10" t="str">
        <f>_xlfn.LET(
    _xlpm.k, tRealF[[#This Row],[Puntos]],
    IF(_xlpm.k="", "", _xlpm.k)
  )</f>
        <v/>
      </c>
      <c r="H71" s="10" t="str" cm="1">
        <f t="array" aca="1" ref="H7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2" spans="1:8" x14ac:dyDescent="0.2">
      <c r="A72" s="8">
        <v>69</v>
      </c>
      <c r="B72" s="8" t="str" cm="1">
        <f t="array" aca="1" ref="B7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BOLADO BLANCO, YAEL</v>
      </c>
      <c r="C72" s="8" cm="1">
        <f t="array" aca="1" ref="C72" ca="1">INDEX(tRealF[Año],RANDBETWEEN(1,ROWS(tRealF[Apellido2])))</f>
        <v>2007</v>
      </c>
      <c r="D72" s="8" t="str" cm="1">
        <f t="array" aca="1" ref="D72" ca="1">INDEX(tRealF[clubFórmula],RANDBETWEEN(1,ROWS(tRealF[Apellido2])))</f>
        <v>Club Deportivo Oca S.O.S</v>
      </c>
      <c r="E72" s="9">
        <f>tRealF[[#This Row],[Tiempo1]]</f>
        <v>0.11233796296296296</v>
      </c>
      <c r="F72" s="9" t="str">
        <f>_xlfn.LET(
    _xlpm.k, tRealF[[#This Row],[Tiempo2]],
    IF(_xlpm.k="", "", _xlpm.k)
  )</f>
        <v/>
      </c>
      <c r="G72" s="10" t="str">
        <f>_xlfn.LET(
    _xlpm.k, tRealF[[#This Row],[Puntos]],
    IF(_xlpm.k="", "", _xlpm.k)
  )</f>
        <v/>
      </c>
      <c r="H72" s="10" t="str" cm="1">
        <f t="array" aca="1" ref="H7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3" spans="1:8" x14ac:dyDescent="0.2">
      <c r="A73" s="8">
        <v>70</v>
      </c>
      <c r="B73" s="8" t="str" cm="1">
        <f t="array" aca="1" ref="B7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GILABERT GARCIA, TRIANA</v>
      </c>
      <c r="C73" s="8" cm="1">
        <f t="array" aca="1" ref="C73" ca="1">INDEX(tRealF[Año],RANDBETWEEN(1,ROWS(tRealF[Apellido2])))</f>
        <v>2010</v>
      </c>
      <c r="D73" s="8" t="str" cm="1">
        <f t="array" aca="1" ref="D73" ca="1">INDEX(tRealF[clubFórmula],RANDBETWEEN(1,ROWS(tRealF[Apellido2])))</f>
        <v>Club Natación Guadalajara</v>
      </c>
      <c r="E73" s="9">
        <f>tRealF[[#This Row],[Tiempo1]]</f>
        <v>0.11418981481481481</v>
      </c>
      <c r="F73" s="9" t="str">
        <f>_xlfn.LET(
    _xlpm.k, tRealF[[#This Row],[Tiempo2]],
    IF(_xlpm.k="", "", _xlpm.k)
  )</f>
        <v/>
      </c>
      <c r="G73" s="10" t="str">
        <f>_xlfn.LET(
    _xlpm.k, tRealF[[#This Row],[Puntos]],
    IF(_xlpm.k="", "", _xlpm.k)
  )</f>
        <v/>
      </c>
      <c r="H73" s="10" t="str" cm="1">
        <f t="array" aca="1" ref="H7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4" spans="1:8" x14ac:dyDescent="0.2">
      <c r="A74" s="8">
        <v>71</v>
      </c>
      <c r="B74" s="8" t="str" cm="1">
        <f t="array" aca="1" ref="B7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RAMOS GARCIA, NEREA</v>
      </c>
      <c r="C74" s="8" cm="1">
        <f t="array" aca="1" ref="C74" ca="1">INDEX(tRealF[Año],RANDBETWEEN(1,ROWS(tRealF[Apellido2])))</f>
        <v>2010</v>
      </c>
      <c r="D74" s="8" t="str" cm="1">
        <f t="array" aca="1" ref="D74" ca="1">INDEX(tRealF[clubFórmula],RANDBETWEEN(1,ROWS(tRealF[Apellido2])))</f>
        <v>Club Salvamento Arteixo - SALVAR</v>
      </c>
      <c r="E74" s="9">
        <f>tRealF[[#This Row],[Tiempo1]]</f>
        <v>0.11430555555555555</v>
      </c>
      <c r="F74" s="9" t="str">
        <f>_xlfn.LET(
    _xlpm.k, tRealF[[#This Row],[Tiempo2]],
    IF(_xlpm.k="", "", _xlpm.k)
  )</f>
        <v/>
      </c>
      <c r="G74" s="10" t="str">
        <f>_xlfn.LET(
    _xlpm.k, tRealF[[#This Row],[Puntos]],
    IF(_xlpm.k="", "", _xlpm.k)
  )</f>
        <v/>
      </c>
      <c r="H74" s="10" t="str" cm="1">
        <f t="array" aca="1" ref="H7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5" spans="1:8" x14ac:dyDescent="0.2">
      <c r="A75" s="8">
        <v>72</v>
      </c>
      <c r="B75" s="8" t="str" cm="1">
        <f t="array" aca="1" ref="B7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MANTECON CORTES, ALBA</v>
      </c>
      <c r="C75" s="8" cm="1">
        <f t="array" aca="1" ref="C75" ca="1">INDEX(tRealF[Año],RANDBETWEEN(1,ROWS(tRealF[Apellido2])))</f>
        <v>2007</v>
      </c>
      <c r="D75" s="8" t="str" cm="1">
        <f t="array" aca="1" ref="D75" ca="1">INDEX(tRealF[clubFórmula],RANDBETWEEN(1,ROWS(tRealF[Apellido2])))</f>
        <v>Club Leucante</v>
      </c>
      <c r="E75" s="9">
        <f>tRealF[[#This Row],[Tiempo1]]</f>
        <v>0.11479166666666667</v>
      </c>
      <c r="F75" s="9" t="str">
        <f>_xlfn.LET(
    _xlpm.k, tRealF[[#This Row],[Tiempo2]],
    IF(_xlpm.k="", "", _xlpm.k)
  )</f>
        <v/>
      </c>
      <c r="G75" s="10" t="str">
        <f>_xlfn.LET(
    _xlpm.k, tRealF[[#This Row],[Puntos]],
    IF(_xlpm.k="", "", _xlpm.k)
  )</f>
        <v/>
      </c>
      <c r="H75" s="10" t="str" cm="1">
        <f t="array" aca="1" ref="H7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6" spans="1:8" x14ac:dyDescent="0.2">
      <c r="A76" s="8">
        <v>73</v>
      </c>
      <c r="B76" s="8" t="str" cm="1">
        <f t="array" aca="1" ref="B7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DIAZ-REGAÑON ALVIR, MAYI</v>
      </c>
      <c r="C76" s="8" cm="1">
        <f t="array" aca="1" ref="C76" ca="1">INDEX(tRealF[Año],RANDBETWEEN(1,ROWS(tRealF[Apellido2])))</f>
        <v>2008</v>
      </c>
      <c r="D76" s="8" t="str" cm="1">
        <f t="array" aca="1" ref="D76" ca="1">INDEX(tRealF[clubFórmula],RANDBETWEEN(1,ROWS(tRealF[Apellido2])))</f>
        <v>C.D.E Pacífico Salvamento</v>
      </c>
      <c r="E76" s="9">
        <f>tRealF[[#This Row],[Tiempo1]]</f>
        <v>0.11493055555555555</v>
      </c>
      <c r="F76" s="9" t="str">
        <f>_xlfn.LET(
    _xlpm.k, tRealF[[#This Row],[Tiempo2]],
    IF(_xlpm.k="", "", _xlpm.k)
  )</f>
        <v/>
      </c>
      <c r="G76" s="10" t="str">
        <f>_xlfn.LET(
    _xlpm.k, tRealF[[#This Row],[Puntos]],
    IF(_xlpm.k="", "", _xlpm.k)
  )</f>
        <v/>
      </c>
      <c r="H76" s="10" t="str" cm="1">
        <f t="array" aca="1" ref="H7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7" spans="1:8" x14ac:dyDescent="0.2">
      <c r="A77" s="8">
        <v>74</v>
      </c>
      <c r="B77" s="8" t="str" cm="1">
        <f t="array" aca="1" ref="B7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PORRAS RECIO, ERIKA</v>
      </c>
      <c r="C77" s="8" cm="1">
        <f t="array" aca="1" ref="C77" ca="1">INDEX(tRealF[Año],RANDBETWEEN(1,ROWS(tRealF[Apellido2])))</f>
        <v>2005</v>
      </c>
      <c r="D77" s="8" t="str" cm="1">
        <f t="array" aca="1" ref="D77" ca="1">INDEX(tRealF[clubFórmula],RANDBETWEEN(1,ROWS(tRealF[Apellido2])))</f>
        <v>Alcarreño de Salvamento y Socorrismo</v>
      </c>
      <c r="E77" s="9">
        <f>tRealF[[#This Row],[Tiempo1]]</f>
        <v>0.1152662037037037</v>
      </c>
      <c r="F77" s="9" t="str">
        <f>_xlfn.LET(
    _xlpm.k, tRealF[[#This Row],[Tiempo2]],
    IF(_xlpm.k="", "", _xlpm.k)
  )</f>
        <v/>
      </c>
      <c r="G77" s="10" t="str">
        <f>_xlfn.LET(
    _xlpm.k, tRealF[[#This Row],[Puntos]],
    IF(_xlpm.k="", "", _xlpm.k)
  )</f>
        <v/>
      </c>
      <c r="H77" s="10" t="str" cm="1">
        <f t="array" aca="1" ref="H7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8" spans="1:8" x14ac:dyDescent="0.2">
      <c r="A78" s="8">
        <v>75</v>
      </c>
      <c r="B78" s="8" t="str" cm="1">
        <f t="array" aca="1" ref="B7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MARTINEZ CABEZAS, LUCIA</v>
      </c>
      <c r="C78" s="8" cm="1">
        <f t="array" aca="1" ref="C78" ca="1">INDEX(tRealF[Año],RANDBETWEEN(1,ROWS(tRealF[Apellido2])))</f>
        <v>2008</v>
      </c>
      <c r="D78" s="8" t="str" cm="1">
        <f t="array" aca="1" ref="D78" ca="1">INDEX(tRealF[clubFórmula],RANDBETWEEN(1,ROWS(tRealF[Apellido2])))</f>
        <v>Alcarreño de Salvamento y Socorrismo</v>
      </c>
      <c r="E78" s="9">
        <f>tRealF[[#This Row],[Tiempo1]]</f>
        <v>0.11534722222222223</v>
      </c>
      <c r="F78" s="9" t="str">
        <f>_xlfn.LET(
    _xlpm.k, tRealF[[#This Row],[Tiempo2]],
    IF(_xlpm.k="", "", _xlpm.k)
  )</f>
        <v/>
      </c>
      <c r="G78" s="10" t="str">
        <f>_xlfn.LET(
    _xlpm.k, tRealF[[#This Row],[Puntos]],
    IF(_xlpm.k="", "", _xlpm.k)
  )</f>
        <v/>
      </c>
      <c r="H78" s="10" t="str" cm="1">
        <f t="array" aca="1" ref="H7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9" spans="1:8" x14ac:dyDescent="0.2">
      <c r="A79" s="8">
        <v>76</v>
      </c>
      <c r="B79" s="8" t="str" cm="1">
        <f t="array" aca="1" ref="B7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SIRVENT CHOVGANYUK, ZOE</v>
      </c>
      <c r="C79" s="8" cm="1">
        <f t="array" aca="1" ref="C79" ca="1">INDEX(tRealF[Año],RANDBETWEEN(1,ROWS(tRealF[Apellido2])))</f>
        <v>2010</v>
      </c>
      <c r="D79" s="8" t="str" cm="1">
        <f t="array" aca="1" ref="D79" ca="1">INDEX(tRealF[clubFórmula],RANDBETWEEN(1,ROWS(tRealF[Apellido2])))</f>
        <v>Real Club Náutico de Tenerife</v>
      </c>
      <c r="E79" s="9">
        <f>tRealF[[#This Row],[Tiempo1]]</f>
        <v>0.11666666666666667</v>
      </c>
      <c r="F79" s="9" t="str">
        <f>_xlfn.LET(
    _xlpm.k, tRealF[[#This Row],[Tiempo2]],
    IF(_xlpm.k="", "", _xlpm.k)
  )</f>
        <v/>
      </c>
      <c r="G79" s="10" t="str">
        <f>_xlfn.LET(
    _xlpm.k, tRealF[[#This Row],[Puntos]],
    IF(_xlpm.k="", "", _xlpm.k)
  )</f>
        <v/>
      </c>
      <c r="H79" s="10" t="str" cm="1">
        <f t="array" aca="1" ref="H7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0" spans="1:8" x14ac:dyDescent="0.2">
      <c r="A80" s="8">
        <v>77</v>
      </c>
      <c r="B80" s="8" t="str" cm="1">
        <f t="array" aca="1" ref="B8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SIRVENT RADIO, PATRICIA</v>
      </c>
      <c r="C80" s="8" cm="1">
        <f t="array" aca="1" ref="C80" ca="1">INDEX(tRealF[Año],RANDBETWEEN(1,ROWS(tRealF[Apellido2])))</f>
        <v>2009</v>
      </c>
      <c r="D80" s="8" t="str" cm="1">
        <f t="array" aca="1" ref="D80" ca="1">INDEX(tRealF[clubFórmula],RANDBETWEEN(1,ROWS(tRealF[Apellido2])))</f>
        <v>Club Natación y Salvamento Oriol Imperial</v>
      </c>
      <c r="E80" s="9">
        <f>tRealF[[#This Row],[Tiempo1]]</f>
        <v>0.11729166666666667</v>
      </c>
      <c r="F80" s="9" t="str">
        <f>_xlfn.LET(
    _xlpm.k, tRealF[[#This Row],[Tiempo2]],
    IF(_xlpm.k="", "", _xlpm.k)
  )</f>
        <v/>
      </c>
      <c r="G80" s="10" t="str">
        <f>_xlfn.LET(
    _xlpm.k, tRealF[[#This Row],[Puntos]],
    IF(_xlpm.k="", "", _xlpm.k)
  )</f>
        <v/>
      </c>
      <c r="H80" s="10" t="str" cm="1">
        <f t="array" aca="1" ref="H8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1" spans="1:8" x14ac:dyDescent="0.2">
      <c r="A81" s="8">
        <v>78</v>
      </c>
      <c r="B81" s="8" t="str" cm="1">
        <f t="array" aca="1" ref="B8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IBÁÑEZ CUADRADO, LIDIA</v>
      </c>
      <c r="C81" s="8" cm="1">
        <f t="array" aca="1" ref="C81" ca="1">INDEX(tRealF[Año],RANDBETWEEN(1,ROWS(tRealF[Apellido2])))</f>
        <v>2009</v>
      </c>
      <c r="D81" s="8" t="str" cm="1">
        <f t="array" aca="1" ref="D81" ca="1">INDEX(tRealF[clubFórmula],RANDBETWEEN(1,ROWS(tRealF[Apellido2])))</f>
        <v>C. D. Salvamento Dragones</v>
      </c>
      <c r="E81" s="9">
        <f>tRealF[[#This Row],[Tiempo1]]</f>
        <v>0.11844907407407407</v>
      </c>
      <c r="F81" s="9" t="str">
        <f>_xlfn.LET(
    _xlpm.k, tRealF[[#This Row],[Tiempo2]],
    IF(_xlpm.k="", "", _xlpm.k)
  )</f>
        <v/>
      </c>
      <c r="G81" s="10" t="str">
        <f>_xlfn.LET(
    _xlpm.k, tRealF[[#This Row],[Puntos]],
    IF(_xlpm.k="", "", _xlpm.k)
  )</f>
        <v/>
      </c>
      <c r="H81" s="10" t="str" cm="1">
        <f t="array" aca="1" ref="H8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2" spans="1:8" x14ac:dyDescent="0.2">
      <c r="A82" s="8">
        <v>79</v>
      </c>
      <c r="B82" s="8" t="str" cm="1">
        <f t="array" aca="1" ref="B8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TENAGUILLO GARCIA, NATALIA</v>
      </c>
      <c r="C82" s="8" cm="1">
        <f t="array" aca="1" ref="C82" ca="1">INDEX(tRealF[Año],RANDBETWEEN(1,ROWS(tRealF[Apellido2])))</f>
        <v>2010</v>
      </c>
      <c r="D82" s="8" t="str" cm="1">
        <f t="array" aca="1" ref="D82" ca="1">INDEX(tRealF[clubFórmula],RANDBETWEEN(1,ROWS(tRealF[Apellido2])))</f>
        <v>Club de Salvamento SVAT - Tarancón</v>
      </c>
      <c r="E82" s="9">
        <f>tRealF[[#This Row],[Tiempo1]]</f>
        <v>0.11891203703703704</v>
      </c>
      <c r="F82" s="9" t="str">
        <f>_xlfn.LET(
    _xlpm.k, tRealF[[#This Row],[Tiempo2]],
    IF(_xlpm.k="", "", _xlpm.k)
  )</f>
        <v/>
      </c>
      <c r="G82" s="10" t="str">
        <f>_xlfn.LET(
    _xlpm.k, tRealF[[#This Row],[Puntos]],
    IF(_xlpm.k="", "", _xlpm.k)
  )</f>
        <v/>
      </c>
      <c r="H82" s="10" t="str" cm="1">
        <f t="array" aca="1" ref="H8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3" spans="1:8" x14ac:dyDescent="0.2">
      <c r="A83" s="8">
        <v>80</v>
      </c>
      <c r="B83" s="8" t="str" cm="1">
        <f t="array" aca="1" ref="B83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MARTÍNEZ MARTINEZ, ELSA</v>
      </c>
      <c r="C83" s="8" cm="1">
        <f t="array" aca="1" ref="C83" ca="1">INDEX(tRealF[Año],RANDBETWEEN(1,ROWS(tRealF[Apellido2])))</f>
        <v>2010</v>
      </c>
      <c r="D83" s="8" t="str" cm="1">
        <f t="array" aca="1" ref="D83" ca="1">INDEX(tRealF[clubFórmula],RANDBETWEEN(1,ROWS(tRealF[Apellido2])))</f>
        <v>Club Salvamento y Socorrismo Benavente</v>
      </c>
      <c r="E83" s="9">
        <f>tRealF[[#This Row],[Tiempo1]]</f>
        <v>0.12002314814814814</v>
      </c>
      <c r="F83" s="9" t="str">
        <f>_xlfn.LET(
    _xlpm.k, tRealF[[#This Row],[Tiempo2]],
    IF(_xlpm.k="", "", _xlpm.k)
  )</f>
        <v/>
      </c>
      <c r="G83" s="10" t="str">
        <f>_xlfn.LET(
    _xlpm.k, tRealF[[#This Row],[Puntos]],
    IF(_xlpm.k="", "", _xlpm.k)
  )</f>
        <v/>
      </c>
      <c r="H83" s="10" t="str" cm="1">
        <f t="array" aca="1" ref="H83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4" spans="1:8" x14ac:dyDescent="0.2">
      <c r="A84" s="8">
        <v>81</v>
      </c>
      <c r="B84" s="8" t="str" cm="1">
        <f t="array" aca="1" ref="B84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SANTOS IZQUIERDO, ANDREA</v>
      </c>
      <c r="C84" s="8" cm="1">
        <f t="array" aca="1" ref="C84" ca="1">INDEX(tRealF[Año],RANDBETWEEN(1,ROWS(tRealF[Apellido2])))</f>
        <v>2008</v>
      </c>
      <c r="D84" s="8" t="str" cm="1">
        <f t="array" aca="1" ref="D84" ca="1">INDEX(tRealF[clubFórmula],RANDBETWEEN(1,ROWS(tRealF[Apellido2])))</f>
        <v>C. D. Salvamento Dragones</v>
      </c>
      <c r="E84" s="9">
        <f>tRealF[[#This Row],[Tiempo1]]</f>
        <v>0.1207175925925926</v>
      </c>
      <c r="F84" s="9" t="str">
        <f>_xlfn.LET(
    _xlpm.k, tRealF[[#This Row],[Tiempo2]],
    IF(_xlpm.k="", "", _xlpm.k)
  )</f>
        <v/>
      </c>
      <c r="G84" s="10" t="str">
        <f>_xlfn.LET(
    _xlpm.k, tRealF[[#This Row],[Puntos]],
    IF(_xlpm.k="", "", _xlpm.k)
  )</f>
        <v/>
      </c>
      <c r="H84" s="10" t="str" cm="1">
        <f t="array" aca="1" ref="H84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5" spans="1:8" x14ac:dyDescent="0.2">
      <c r="A85" s="8">
        <v>82</v>
      </c>
      <c r="B85" s="8" t="str" cm="1">
        <f t="array" aca="1" ref="B85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RUIZ MASERGAS, ELISA</v>
      </c>
      <c r="C85" s="8" cm="1">
        <f t="array" aca="1" ref="C85" ca="1">INDEX(tRealF[Año],RANDBETWEEN(1,ROWS(tRealF[Apellido2])))</f>
        <v>2005</v>
      </c>
      <c r="D85" s="8" t="str" cm="1">
        <f t="array" aca="1" ref="D85" ca="1">INDEX(tRealF[clubFórmula],RANDBETWEEN(1,ROWS(tRealF[Apellido2])))</f>
        <v>Club de Salvamento SVAT - Tarancón</v>
      </c>
      <c r="E85" s="9">
        <f>tRealF[[#This Row],[Tiempo1]]</f>
        <v>0.12111111111111111</v>
      </c>
      <c r="F85" s="9" t="str">
        <f>_xlfn.LET(
    _xlpm.k, tRealF[[#This Row],[Tiempo2]],
    IF(_xlpm.k="", "", _xlpm.k)
  )</f>
        <v/>
      </c>
      <c r="G85" s="10" t="str">
        <f>_xlfn.LET(
    _xlpm.k, tRealF[[#This Row],[Puntos]],
    IF(_xlpm.k="", "", _xlpm.k)
  )</f>
        <v/>
      </c>
      <c r="H85" s="10" t="str" cm="1">
        <f t="array" aca="1" ref="H85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6" spans="1:8" x14ac:dyDescent="0.2">
      <c r="A86" s="8">
        <v>83</v>
      </c>
      <c r="B86" s="8" t="str" cm="1">
        <f t="array" aca="1" ref="B86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VIM MASERGAS, NOEMÍ</v>
      </c>
      <c r="C86" s="8" cm="1">
        <f t="array" aca="1" ref="C86" ca="1">INDEX(tRealF[Año],RANDBETWEEN(1,ROWS(tRealF[Apellido2])))</f>
        <v>2009</v>
      </c>
      <c r="D86" s="8" t="str" cm="1">
        <f t="array" aca="1" ref="D86" ca="1">INDEX(tRealF[clubFórmula],RANDBETWEEN(1,ROWS(tRealF[Apellido2])))</f>
        <v>Club Natación Red Mar Top Ten Alicante</v>
      </c>
      <c r="E86" s="9" t="str">
        <f>tRealF[[#This Row],[Tiempo1]]</f>
        <v>Baja</v>
      </c>
      <c r="F86" s="9" t="str">
        <f>_xlfn.LET(
    _xlpm.k, tRealF[[#This Row],[Tiempo2]],
    IF(_xlpm.k="", "", _xlpm.k)
  )</f>
        <v/>
      </c>
      <c r="G86" s="10" t="str">
        <f>_xlfn.LET(
    _xlpm.k, tRealF[[#This Row],[Puntos]],
    IF(_xlpm.k="", "", _xlpm.k)
  )</f>
        <v/>
      </c>
      <c r="H86" s="10" t="str" cm="1">
        <f t="array" aca="1" ref="H86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7" spans="1:8" x14ac:dyDescent="0.2">
      <c r="A87" s="8">
        <v>84</v>
      </c>
      <c r="B87" s="8" t="str" cm="1">
        <f t="array" aca="1" ref="B87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FRANCOS CORTES, CAROLINA</v>
      </c>
      <c r="C87" s="8" cm="1">
        <f t="array" aca="1" ref="C87" ca="1">INDEX(tRealF[Año],RANDBETWEEN(1,ROWS(tRealF[Apellido2])))</f>
        <v>2008</v>
      </c>
      <c r="D87" s="8" t="str" cm="1">
        <f t="array" aca="1" ref="D87" ca="1">INDEX(tRealF[clubFórmula],RANDBETWEEN(1,ROWS(tRealF[Apellido2])))</f>
        <v>Club Natación Guadalajara</v>
      </c>
      <c r="E87" s="9" t="str">
        <f>tRealF[[#This Row],[Tiempo1]]</f>
        <v>Baja</v>
      </c>
      <c r="F87" s="9" t="str">
        <f>_xlfn.LET(
    _xlpm.k, tRealF[[#This Row],[Tiempo2]],
    IF(_xlpm.k="", "", _xlpm.k)
  )</f>
        <v/>
      </c>
      <c r="G87" s="10" t="str">
        <f>_xlfn.LET(
    _xlpm.k, tRealF[[#This Row],[Puntos]],
    IF(_xlpm.k="", "", _xlpm.k)
  )</f>
        <v/>
      </c>
      <c r="H87" s="10" t="str" cm="1">
        <f t="array" aca="1" ref="H87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8" spans="1:8" x14ac:dyDescent="0.2">
      <c r="A88" s="8">
        <v>85</v>
      </c>
      <c r="B88" s="8" t="str" cm="1">
        <f t="array" aca="1" ref="B88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VALIENTE DE LA ARENA, LAURA</v>
      </c>
      <c r="C88" s="8" cm="1">
        <f t="array" aca="1" ref="C88" ca="1">INDEX(tRealF[Año],RANDBETWEEN(1,ROWS(tRealF[Apellido2])))</f>
        <v>2007</v>
      </c>
      <c r="D88" s="8" t="str" cm="1">
        <f t="array" aca="1" ref="D88" ca="1">INDEX(tRealF[clubFórmula],RANDBETWEEN(1,ROWS(tRealF[Apellido2])))</f>
        <v>Club Natació Reus Ploms</v>
      </c>
      <c r="E88" s="9" t="str">
        <f>tRealF[[#This Row],[Tiempo1]]</f>
        <v>Baja</v>
      </c>
      <c r="F88" s="9" t="str">
        <f>_xlfn.LET(
    _xlpm.k, tRealF[[#This Row],[Tiempo2]],
    IF(_xlpm.k="", "", _xlpm.k)
  )</f>
        <v/>
      </c>
      <c r="G88" s="10" t="str">
        <f>_xlfn.LET(
    _xlpm.k, tRealF[[#This Row],[Puntos]],
    IF(_xlpm.k="", "", _xlpm.k)
  )</f>
        <v/>
      </c>
      <c r="H88" s="10" t="str" cm="1">
        <f t="array" aca="1" ref="H88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9" spans="1:8" x14ac:dyDescent="0.2">
      <c r="A89" s="8">
        <v>86</v>
      </c>
      <c r="B89" s="8" t="str" cm="1">
        <f t="array" aca="1" ref="B89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COLOM GONZALEZ, GABRIELA</v>
      </c>
      <c r="C89" s="8" cm="1">
        <f t="array" aca="1" ref="C89" ca="1">INDEX(tRealF[Año],RANDBETWEEN(1,ROWS(tRealF[Apellido2])))</f>
        <v>2006</v>
      </c>
      <c r="D89" s="8" t="str" cm="1">
        <f t="array" aca="1" ref="D89" ca="1">INDEX(tRealF[clubFórmula],RANDBETWEEN(1,ROWS(tRealF[Apellido2])))</f>
        <v>Club Natación y Salvamento Oriol Imperial</v>
      </c>
      <c r="E89" s="9" t="str">
        <f>tRealF[[#This Row],[Tiempo1]]</f>
        <v>Baja</v>
      </c>
      <c r="F89" s="9" t="str">
        <f>_xlfn.LET(
    _xlpm.k, tRealF[[#This Row],[Tiempo2]],
    IF(_xlpm.k="", "", _xlpm.k)
  )</f>
        <v/>
      </c>
      <c r="G89" s="10" t="str">
        <f>_xlfn.LET(
    _xlpm.k, tRealF[[#This Row],[Puntos]],
    IF(_xlpm.k="", "", _xlpm.k)
  )</f>
        <v/>
      </c>
      <c r="H89" s="10" t="str" cm="1">
        <f t="array" aca="1" ref="H89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0" spans="1:8" x14ac:dyDescent="0.2">
      <c r="A90" s="8">
        <v>87</v>
      </c>
      <c r="B90" s="8" t="str" cm="1">
        <f t="array" aca="1" ref="B90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SASTRE QUEMADA, CAROLINA</v>
      </c>
      <c r="C90" s="8" cm="1">
        <f t="array" aca="1" ref="C90" ca="1">INDEX(tRealF[Año],RANDBETWEEN(1,ROWS(tRealF[Apellido2])))</f>
        <v>2008</v>
      </c>
      <c r="D90" s="8" t="str" cm="1">
        <f t="array" aca="1" ref="D90" ca="1">INDEX(tRealF[clubFórmula],RANDBETWEEN(1,ROWS(tRealF[Apellido2])))</f>
        <v>Real Club Náutico de Tenerife</v>
      </c>
      <c r="E90" s="9" t="str">
        <f>tRealF[[#This Row],[Tiempo1]]</f>
        <v>Baja</v>
      </c>
      <c r="F90" s="9" t="str">
        <f>_xlfn.LET(
    _xlpm.k, tRealF[[#This Row],[Tiempo2]],
    IF(_xlpm.k="", "", _xlpm.k)
  )</f>
        <v/>
      </c>
      <c r="G90" s="10" t="str">
        <f>_xlfn.LET(
    _xlpm.k, tRealF[[#This Row],[Puntos]],
    IF(_xlpm.k="", "", _xlpm.k)
  )</f>
        <v/>
      </c>
      <c r="H90" s="10" t="str" cm="1">
        <f t="array" aca="1" ref="H90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1" spans="1:8" x14ac:dyDescent="0.2">
      <c r="A91" s="8">
        <v>88</v>
      </c>
      <c r="B91" s="8" t="str" cm="1">
        <f t="array" aca="1" ref="B91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SIRVENT TORRENT, PAULA</v>
      </c>
      <c r="C91" s="8" cm="1">
        <f t="array" aca="1" ref="C91" ca="1">INDEX(tRealF[Año],RANDBETWEEN(1,ROWS(tRealF[Apellido2])))</f>
        <v>2000</v>
      </c>
      <c r="D91" s="8" t="str" cm="1">
        <f t="array" aca="1" ref="D91" ca="1">INDEX(tRealF[clubFórmula],RANDBETWEEN(1,ROWS(tRealF[Apellido2])))</f>
        <v>Sos Pielagos Playas de Cantabria</v>
      </c>
      <c r="E91" s="9" t="str">
        <f>tRealF[[#This Row],[Tiempo1]]</f>
        <v>No Presentado</v>
      </c>
      <c r="F91" s="9" t="str">
        <f>_xlfn.LET(
    _xlpm.k, tRealF[[#This Row],[Tiempo2]],
    IF(_xlpm.k="", "", _xlpm.k)
  )</f>
        <v/>
      </c>
      <c r="G91" s="10" t="str">
        <f>_xlfn.LET(
    _xlpm.k, tRealF[[#This Row],[Puntos]],
    IF(_xlpm.k="", "", _xlpm.k)
  )</f>
        <v/>
      </c>
      <c r="H91" s="10" t="str" cm="1">
        <f t="array" aca="1" ref="H91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2" spans="1:8" x14ac:dyDescent="0.2">
      <c r="A92" s="8">
        <v>89</v>
      </c>
      <c r="B92" s="8" t="str" cm="1">
        <f t="array" aca="1" ref="B92" ca="1">_xlfn.CONCAT(_xlfn.LET(
    _xlpm.k, RANDBETWEEN(1, ROWS(tRealF[Apellido2])),
    _xlpm.n, INDEX(tRealF[Apellido1], _xlpm.k),
    IF(_xlpm.n="", "", _xlpm.n)
  )," ",
  _xlfn.LET(
    _xlpm.k, RANDBETWEEN(1, ROWS(tRealF[Apellido2])),
    _xlpm.n, INDEX(tRealF[Apellido2], _xlpm.k),
    IF(_xlpm.n="", "", _xlpm.n)
  ),", ",
  _xlfn.LET(
    _xlpm.k, RANDBETWEEN(1, ROWS(tRealF[Apellido2])),
    _xlpm.n, INDEX(tRealF[Nombre], _xlpm.k),
    IF(_xlpm.n="", "", _xlpm.n)
  )
)</f>
        <v>MARTINEZ FERNANDEZ, NURIA</v>
      </c>
      <c r="C92" s="8" cm="1">
        <f t="array" aca="1" ref="C92" ca="1">INDEX(tRealF[Año],RANDBETWEEN(1,ROWS(tRealF[Apellido2])))</f>
        <v>2008</v>
      </c>
      <c r="D92" s="8" t="str" cm="1">
        <f t="array" aca="1" ref="D92" ca="1">INDEX(tRealF[clubFórmula],RANDBETWEEN(1,ROWS(tRealF[Apellido2])))</f>
        <v>C. D. Salvamento Dragones</v>
      </c>
      <c r="E92" s="9" t="str">
        <f>tRealF[[#This Row],[Tiempo1]]</f>
        <v>Descalificado 1</v>
      </c>
      <c r="F92" s="9" t="str">
        <f>_xlfn.LET(
    _xlpm.k, tRealF[[#This Row],[Tiempo2]],
    IF(_xlpm.k="", "", _xlpm.k)
  )</f>
        <v/>
      </c>
      <c r="G92" s="10" t="str">
        <f>_xlfn.LET(
    _xlpm.k, tRealF[[#This Row],[Puntos]],
    IF(_xlpm.k="", "", _xlpm.k)
  )</f>
        <v/>
      </c>
      <c r="H92" s="10" t="str" cm="1">
        <f t="array" aca="1" ref="H92" ca="1">_xlfn.LET(
  _xlpm.anioNac, tRealF[Año],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DAC7-8DBC-4110-BED3-398FDAAD9636}">
  <dimension ref="A1:H119"/>
  <sheetViews>
    <sheetView zoomScaleNormal="100" workbookViewId="0">
      <selection activeCell="E1" sqref="E1:F1048576"/>
    </sheetView>
  </sheetViews>
  <sheetFormatPr defaultRowHeight="12.75" x14ac:dyDescent="0.2"/>
  <cols>
    <col min="1" max="1" width="8.85546875" style="8" bestFit="1" customWidth="1"/>
    <col min="2" max="2" width="33.85546875" style="8" bestFit="1" customWidth="1"/>
    <col min="3" max="3" width="6.7109375" style="8" bestFit="1" customWidth="1"/>
    <col min="4" max="4" width="43.5703125" style="8" bestFit="1" customWidth="1"/>
    <col min="5" max="5" width="13.140625" style="8" bestFit="1" customWidth="1"/>
    <col min="6" max="6" width="14.85546875" style="8" bestFit="1" customWidth="1"/>
    <col min="7" max="7" width="9.5703125" style="8" bestFit="1" customWidth="1"/>
    <col min="8" max="8" width="12" style="8" bestFit="1" customWidth="1"/>
    <col min="9" max="16384" width="9.140625" style="8"/>
  </cols>
  <sheetData>
    <row r="1" spans="1:8" ht="29.25" x14ac:dyDescent="0.7">
      <c r="A1" s="16" t="s">
        <v>911</v>
      </c>
    </row>
    <row r="3" spans="1:8" x14ac:dyDescent="0.2">
      <c r="A3" s="4" t="s">
        <v>282</v>
      </c>
      <c r="B3" s="5" t="s">
        <v>285</v>
      </c>
      <c r="C3" s="5" t="s">
        <v>286</v>
      </c>
      <c r="D3" s="5" t="s">
        <v>2</v>
      </c>
      <c r="E3" s="5" t="s">
        <v>287</v>
      </c>
      <c r="F3" s="5" t="s">
        <v>288</v>
      </c>
      <c r="G3" s="6" t="s">
        <v>289</v>
      </c>
      <c r="H3" s="7" t="s">
        <v>305</v>
      </c>
    </row>
    <row r="4" spans="1:8" x14ac:dyDescent="0.2">
      <c r="A4" s="8">
        <v>1</v>
      </c>
      <c r="B4" s="8" t="str" cm="1">
        <f t="array" aca="1" ref="B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FERRANDIZ VILAGRAN, ALEJANDRO</v>
      </c>
      <c r="C4" s="8" cm="1">
        <f t="array" aca="1" ref="C4" ca="1">INDEX(tRealM[Año],RANDBETWEEN(1,ROWS(tRealM[Apellido2])))</f>
        <v>2010</v>
      </c>
      <c r="D4" s="8" t="str" cm="1">
        <f t="array" aca="1" ref="D4" ca="1">INDEX(tRealM[clubFórmula],RANDBETWEEN(1,ROWS(tRealM[Apellido2])))</f>
        <v>Sos Pielagos Playas de Cantabria</v>
      </c>
      <c r="E4" s="9">
        <f>tRealM[[#This Row],[Tiempo1]]</f>
        <v>8.4398148148148153E-2</v>
      </c>
      <c r="F4" s="9">
        <f>_xlfn.LET(
    _xlpm.k, tRealM[[#This Row],[Tiempo2]],
    IF(_xlpm.k="", "", _xlpm.k)
  )</f>
        <v>8.2442129629629629E-2</v>
      </c>
      <c r="G4" s="10">
        <f>_xlfn.LET(
    _xlpm.k, tRealM[[#This Row],[Puntos]],
    IF(_xlpm.k="", "", _xlpm.k)
  )</f>
        <v>20</v>
      </c>
      <c r="H4" s="10" t="str" cm="1">
        <f t="array" aca="1" ref="H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" spans="1:8" x14ac:dyDescent="0.2">
      <c r="A5" s="8">
        <v>2</v>
      </c>
      <c r="B5" s="8" t="str" cm="1">
        <f t="array" aca="1" ref="B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FERRANDIZ ORTIZ, ADRIAN</v>
      </c>
      <c r="C5" s="8" cm="1">
        <f t="array" aca="1" ref="C5" ca="1">INDEX(tRealM[Año],RANDBETWEEN(1,ROWS(tRealM[Apellido2])))</f>
        <v>2010</v>
      </c>
      <c r="D5" s="8" t="str" cm="1">
        <f t="array" aca="1" ref="D5" ca="1">INDEX(tRealM[clubFórmula],RANDBETWEEN(1,ROWS(tRealM[Apellido2])))</f>
        <v>Alcarreño de Salvamento y Socorrismo</v>
      </c>
      <c r="E5" s="9">
        <f>tRealM[[#This Row],[Tiempo1]]</f>
        <v>8.6076388888888883E-2</v>
      </c>
      <c r="F5" s="9">
        <f>_xlfn.LET(
    _xlpm.k, tRealM[[#This Row],[Tiempo2]],
    IF(_xlpm.k="", "", _xlpm.k)
  )</f>
        <v>8.3784722222222219E-2</v>
      </c>
      <c r="G5" s="10">
        <f>_xlfn.LET(
    _xlpm.k, tRealM[[#This Row],[Puntos]],
    IF(_xlpm.k="", "", _xlpm.k)
  )</f>
        <v>18</v>
      </c>
      <c r="H5" s="10" t="str" cm="1">
        <f t="array" aca="1" ref="H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" spans="1:8" x14ac:dyDescent="0.2">
      <c r="A6" s="8">
        <v>3</v>
      </c>
      <c r="B6" s="8" t="str" cm="1">
        <f t="array" aca="1" ref="B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PAREJA FERREIRA, ARES</v>
      </c>
      <c r="C6" s="8" cm="1">
        <f t="array" aca="1" ref="C6" ca="1">INDEX(tRealM[Año],RANDBETWEEN(1,ROWS(tRealM[Apellido2])))</f>
        <v>2010</v>
      </c>
      <c r="D6" s="8" t="str" cm="1">
        <f t="array" aca="1" ref="D6" ca="1">INDEX(tRealM[clubFórmula],RANDBETWEEN(1,ROWS(tRealM[Apellido2])))</f>
        <v>Club Leucante</v>
      </c>
      <c r="E6" s="9">
        <f>tRealM[[#This Row],[Tiempo1]]</f>
        <v>8.6412037037037037E-2</v>
      </c>
      <c r="F6" s="9">
        <f>_xlfn.LET(
    _xlpm.k, tRealM[[#This Row],[Tiempo2]],
    IF(_xlpm.k="", "", _xlpm.k)
  )</f>
        <v>8.4722222222222227E-2</v>
      </c>
      <c r="G6" s="10">
        <f>_xlfn.LET(
    _xlpm.k, tRealM[[#This Row],[Puntos]],
    IF(_xlpm.k="", "", _xlpm.k)
  )</f>
        <v>16</v>
      </c>
      <c r="H6" s="10" t="str" cm="1">
        <f t="array" aca="1" ref="H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" spans="1:8" x14ac:dyDescent="0.2">
      <c r="A7" s="8">
        <v>4</v>
      </c>
      <c r="B7" s="8" t="str" cm="1">
        <f t="array" aca="1" ref="B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PEREZ GONZALEZ, SERGIO</v>
      </c>
      <c r="C7" s="8" cm="1">
        <f t="array" aca="1" ref="C7" ca="1">INDEX(tRealM[Año],RANDBETWEEN(1,ROWS(tRealM[Apellido2])))</f>
        <v>2008</v>
      </c>
      <c r="D7" s="8" t="str" cm="1">
        <f t="array" aca="1" ref="D7" ca="1">INDEX(tRealM[clubFórmula],RANDBETWEEN(1,ROWS(tRealM[Apellido2])))</f>
        <v>C.D.B. Vallecas S.O.S</v>
      </c>
      <c r="E7" s="9">
        <f>tRealM[[#This Row],[Tiempo1]]</f>
        <v>8.6145833333333338E-2</v>
      </c>
      <c r="F7" s="9">
        <f>_xlfn.LET(
    _xlpm.k, tRealM[[#This Row],[Tiempo2]],
    IF(_xlpm.k="", "", _xlpm.k)
  )</f>
        <v>8.5300925925925933E-2</v>
      </c>
      <c r="G7" s="10">
        <f>_xlfn.LET(
    _xlpm.k, tRealM[[#This Row],[Puntos]],
    IF(_xlpm.k="", "", _xlpm.k)
  )</f>
        <v>14</v>
      </c>
      <c r="H7" s="10" t="str" cm="1">
        <f t="array" aca="1" ref="H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" spans="1:8" x14ac:dyDescent="0.2">
      <c r="A8" s="8">
        <v>5</v>
      </c>
      <c r="B8" s="8" t="str" cm="1">
        <f t="array" aca="1" ref="B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PEREZ TARANILLA, ANGEL</v>
      </c>
      <c r="C8" s="8" cm="1">
        <f t="array" aca="1" ref="C8" ca="1">INDEX(tRealM[Año],RANDBETWEEN(1,ROWS(tRealM[Apellido2])))</f>
        <v>2009</v>
      </c>
      <c r="D8" s="8" t="str" cm="1">
        <f t="array" aca="1" ref="D8" ca="1">INDEX(tRealM[clubFórmula],RANDBETWEEN(1,ROWS(tRealM[Apellido2])))</f>
        <v>Club Salvamento y Natación Silla</v>
      </c>
      <c r="E8" s="9">
        <f>tRealM[[#This Row],[Tiempo1]]</f>
        <v>8.6307870370370368E-2</v>
      </c>
      <c r="F8" s="9">
        <f>_xlfn.LET(
    _xlpm.k, tRealM[[#This Row],[Tiempo2]],
    IF(_xlpm.k="", "", _xlpm.k)
  )</f>
        <v>8.548611111111111E-2</v>
      </c>
      <c r="G8" s="10">
        <f>_xlfn.LET(
    _xlpm.k, tRealM[[#This Row],[Puntos]],
    IF(_xlpm.k="", "", _xlpm.k)
  )</f>
        <v>13</v>
      </c>
      <c r="H8" s="10" t="str" cm="1">
        <f t="array" aca="1" ref="H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" spans="1:8" x14ac:dyDescent="0.2">
      <c r="A9" s="8">
        <v>6</v>
      </c>
      <c r="B9" s="8" t="str" cm="1">
        <f t="array" aca="1" ref="B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CASTELLANOS OLIVARES, IVÁN</v>
      </c>
      <c r="C9" s="8" cm="1">
        <f t="array" aca="1" ref="C9" ca="1">INDEX(tRealM[Año],RANDBETWEEN(1,ROWS(tRealM[Apellido2])))</f>
        <v>2005</v>
      </c>
      <c r="D9" s="8" t="str" cm="1">
        <f t="array" aca="1" ref="D9" ca="1">INDEX(tRealM[clubFórmula],RANDBETWEEN(1,ROWS(tRealM[Apellido2])))</f>
        <v>Sos Pielagos Playas de Cantabria</v>
      </c>
      <c r="E9" s="9">
        <f>tRealM[[#This Row],[Tiempo1]]</f>
        <v>8.7037037037037038E-2</v>
      </c>
      <c r="F9" s="9">
        <f>_xlfn.LET(
    _xlpm.k, tRealM[[#This Row],[Tiempo2]],
    IF(_xlpm.k="", "", _xlpm.k)
  )</f>
        <v>8.6157407407407405E-2</v>
      </c>
      <c r="G9" s="10">
        <f>_xlfn.LET(
    _xlpm.k, tRealM[[#This Row],[Puntos]],
    IF(_xlpm.k="", "", _xlpm.k)
  )</f>
        <v>12</v>
      </c>
      <c r="H9" s="10" t="str" cm="1">
        <f t="array" aca="1" ref="H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" spans="1:8" x14ac:dyDescent="0.2">
      <c r="A10" s="8">
        <v>7</v>
      </c>
      <c r="B10" s="8" t="str" cm="1">
        <f t="array" aca="1" ref="B1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ACOSTA ABEIJÓN, ANXO</v>
      </c>
      <c r="C10" s="8" cm="1">
        <f t="array" aca="1" ref="C10" ca="1">INDEX(tRealM[Año],RANDBETWEEN(1,ROWS(tRealM[Apellido2])))</f>
        <v>2005</v>
      </c>
      <c r="D10" s="8" t="str" cm="1">
        <f t="array" aca="1" ref="D10" ca="1">INDEX(tRealM[clubFórmula],RANDBETWEEN(1,ROWS(tRealM[Apellido2])))</f>
        <v>C lu b Salvamento Arteixo - SALVAR</v>
      </c>
      <c r="E10" s="9">
        <f>tRealM[[#This Row],[Tiempo1]]</f>
        <v>8.7592592592592597E-2</v>
      </c>
      <c r="F10" s="9">
        <f>_xlfn.LET(
    _xlpm.k, tRealM[[#This Row],[Tiempo2]],
    IF(_xlpm.k="", "", _xlpm.k)
  )</f>
        <v>8.6192129629629632E-2</v>
      </c>
      <c r="G10" s="10">
        <f>_xlfn.LET(
    _xlpm.k, tRealM[[#This Row],[Puntos]],
    IF(_xlpm.k="", "", _xlpm.k)
  )</f>
        <v>11</v>
      </c>
      <c r="H10" s="10" t="str" cm="1">
        <f t="array" aca="1" ref="H1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" spans="1:8" x14ac:dyDescent="0.2">
      <c r="A11" s="8">
        <v>8</v>
      </c>
      <c r="B11" s="8" t="str" cm="1">
        <f t="array" aca="1" ref="B1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FONTANA RUIZ, ANDONI</v>
      </c>
      <c r="C11" s="8" cm="1">
        <f t="array" aca="1" ref="C11" ca="1">INDEX(tRealM[Año],RANDBETWEEN(1,ROWS(tRealM[Apellido2])))</f>
        <v>2008</v>
      </c>
      <c r="D11" s="8" t="str" cm="1">
        <f t="array" aca="1" ref="D11" ca="1">INDEX(tRealM[clubFórmula],RANDBETWEEN(1,ROWS(tRealM[Apellido2])))</f>
        <v>Club Playas de Castro Urdiales</v>
      </c>
      <c r="E11" s="9">
        <f>tRealM[[#This Row],[Tiempo1]]</f>
        <v>8.6608796296296295E-2</v>
      </c>
      <c r="F11" s="9">
        <f>_xlfn.LET(
    _xlpm.k, tRealM[[#This Row],[Tiempo2]],
    IF(_xlpm.k="", "", _xlpm.k)
  )</f>
        <v>8.638888888888889E-2</v>
      </c>
      <c r="G11" s="10">
        <f>_xlfn.LET(
    _xlpm.k, tRealM[[#This Row],[Puntos]],
    IF(_xlpm.k="", "", _xlpm.k)
  )</f>
        <v>10</v>
      </c>
      <c r="H11" s="10" t="str" cm="1">
        <f t="array" aca="1" ref="H1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2" spans="1:8" x14ac:dyDescent="0.2">
      <c r="A12" s="8">
        <v>9</v>
      </c>
      <c r="B12" s="8" t="str" cm="1">
        <f t="array" aca="1" ref="B1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IZQUIERDO TEJEDA, MANUEL</v>
      </c>
      <c r="C12" s="8" cm="1">
        <f t="array" aca="1" ref="C12" ca="1">INDEX(tRealM[Año],RANDBETWEEN(1,ROWS(tRealM[Apellido2])))</f>
        <v>2007</v>
      </c>
      <c r="D12" s="8" t="str" cm="1">
        <f t="array" aca="1" ref="D12" ca="1">INDEX(tRealM[clubFórmula],RANDBETWEEN(1,ROWS(tRealM[Apellido2])))</f>
        <v>C . D . E Pacífico Salvamento</v>
      </c>
      <c r="E12" s="9">
        <f>tRealM[[#This Row],[Tiempo1]]</f>
        <v>8.880787037037037E-2</v>
      </c>
      <c r="F12" s="9">
        <f>_xlfn.LET(
    _xlpm.k, tRealM[[#This Row],[Tiempo2]],
    IF(_xlpm.k="", "", _xlpm.k)
  )</f>
        <v>8.7106481481481479E-2</v>
      </c>
      <c r="G12" s="10">
        <f>_xlfn.LET(
    _xlpm.k, tRealM[[#This Row],[Puntos]],
    IF(_xlpm.k="", "", _xlpm.k)
  )</f>
        <v>8</v>
      </c>
      <c r="H12" s="10" t="str" cm="1">
        <f t="array" aca="1" ref="H1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3" spans="1:8" x14ac:dyDescent="0.2">
      <c r="A13" s="8">
        <v>10</v>
      </c>
      <c r="B13" s="8" t="str" cm="1">
        <f t="array" aca="1" ref="B1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NEGREIRA RUDILLA, EDUARDO</v>
      </c>
      <c r="C13" s="8" cm="1">
        <f t="array" aca="1" ref="C13" ca="1">INDEX(tRealM[Año],RANDBETWEEN(1,ROWS(tRealM[Apellido2])))</f>
        <v>2008</v>
      </c>
      <c r="D13" s="8" t="str" cm="1">
        <f t="array" aca="1" ref="D13" ca="1">INDEX(tRealM[clubFórmula],RANDBETWEEN(1,ROWS(tRealM[Apellido2])))</f>
        <v>Club Natación y Salvamento Oriol Imperial</v>
      </c>
      <c r="E13" s="9">
        <f>tRealM[[#This Row],[Tiempo1]]</f>
        <v>8.8009259259259259E-2</v>
      </c>
      <c r="F13" s="9">
        <f>_xlfn.LET(
    _xlpm.k, tRealM[[#This Row],[Tiempo2]],
    IF(_xlpm.k="", "", _xlpm.k)
  )</f>
        <v>8.7060185185185185E-2</v>
      </c>
      <c r="G13" s="10">
        <f>_xlfn.LET(
    _xlpm.k, tRealM[[#This Row],[Puntos]],
    IF(_xlpm.k="", "", _xlpm.k)
  )</f>
        <v>7</v>
      </c>
      <c r="H13" s="10" t="str" cm="1">
        <f t="array" aca="1" ref="H1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4" spans="1:8" x14ac:dyDescent="0.2">
      <c r="A14" s="8">
        <v>11</v>
      </c>
      <c r="B14" s="8" t="str" cm="1">
        <f t="array" aca="1" ref="B1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YAHYIOUI ALVAREZ, EDUARDO</v>
      </c>
      <c r="C14" s="8" cm="1">
        <f t="array" aca="1" ref="C14" ca="1">INDEX(tRealM[Año],RANDBETWEEN(1,ROWS(tRealM[Apellido2])))</f>
        <v>2008</v>
      </c>
      <c r="D14" s="8" t="str" cm="1">
        <f t="array" aca="1" ref="D14" ca="1">INDEX(tRealM[clubFórmula],RANDBETWEEN(1,ROWS(tRealM[Apellido2])))</f>
        <v>Club Natació Reus Ploms</v>
      </c>
      <c r="E14" s="9">
        <f>tRealM[[#This Row],[Tiempo1]]</f>
        <v>8.8414351851851855E-2</v>
      </c>
      <c r="F14" s="9">
        <f>_xlfn.LET(
    _xlpm.k, tRealM[[#This Row],[Tiempo2]],
    IF(_xlpm.k="", "", _xlpm.k)
  )</f>
        <v>8.7326388888888884E-2</v>
      </c>
      <c r="G14" s="10">
        <f>_xlfn.LET(
    _xlpm.k, tRealM[[#This Row],[Puntos]],
    IF(_xlpm.k="", "", _xlpm.k)
  )</f>
        <v>6</v>
      </c>
      <c r="H14" s="10" t="str" cm="1">
        <f t="array" aca="1" ref="H1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5" spans="1:8" x14ac:dyDescent="0.2">
      <c r="A15" s="8">
        <v>12</v>
      </c>
      <c r="B15" s="8" t="str" cm="1">
        <f t="array" aca="1" ref="B1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JIMENEZ VILARCHAO, PEDRO</v>
      </c>
      <c r="C15" s="8" cm="1">
        <f t="array" aca="1" ref="C15" ca="1">INDEX(tRealM[Año],RANDBETWEEN(1,ROWS(tRealM[Apellido2])))</f>
        <v>2009</v>
      </c>
      <c r="D15" s="8" t="str" cm="1">
        <f t="array" aca="1" ref="D15" ca="1">INDEX(tRealM[clubFórmula],RANDBETWEEN(1,ROWS(tRealM[Apellido2])))</f>
        <v>Alcarreño de Salvamento y Socorrismo</v>
      </c>
      <c r="E15" s="9">
        <f>tRealM[[#This Row],[Tiempo1]]</f>
        <v>8.9016203703703708E-2</v>
      </c>
      <c r="F15" s="9">
        <f>_xlfn.LET(
    _xlpm.k, tRealM[[#This Row],[Tiempo2]],
    IF(_xlpm.k="", "", _xlpm.k)
  )</f>
        <v>8.7673611111111105E-2</v>
      </c>
      <c r="G15" s="10">
        <f>_xlfn.LET(
    _xlpm.k, tRealM[[#This Row],[Puntos]],
    IF(_xlpm.k="", "", _xlpm.k)
  )</f>
        <v>5</v>
      </c>
      <c r="H15" s="10" t="str" cm="1">
        <f t="array" aca="1" ref="H1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6" spans="1:8" x14ac:dyDescent="0.2">
      <c r="A16" s="8">
        <v>13</v>
      </c>
      <c r="B16" s="8" t="str" cm="1">
        <f t="array" aca="1" ref="B1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SÁNCHEZ MATHIS, ALEJANDRO</v>
      </c>
      <c r="C16" s="8" cm="1">
        <f t="array" aca="1" ref="C16" ca="1">INDEX(tRealM[Año],RANDBETWEEN(1,ROWS(tRealM[Apellido2])))</f>
        <v>2008</v>
      </c>
      <c r="D16" s="8" t="str" cm="1">
        <f t="array" aca="1" ref="D16" ca="1">INDEX(tRealM[clubFórmula],RANDBETWEEN(1,ROWS(tRealM[Apellido2])))</f>
        <v>Alcarreño de Salvamento y Socorrismo</v>
      </c>
      <c r="E16" s="9">
        <f>tRealM[[#This Row],[Tiempo1]]</f>
        <v>8.8252314814814811E-2</v>
      </c>
      <c r="F16" s="9">
        <f>_xlfn.LET(
    _xlpm.k, tRealM[[#This Row],[Tiempo2]],
    IF(_xlpm.k="", "", _xlpm.k)
  )</f>
        <v>8.8159722222222223E-2</v>
      </c>
      <c r="G16" s="10">
        <f>_xlfn.LET(
    _xlpm.k, tRealM[[#This Row],[Puntos]],
    IF(_xlpm.k="", "", _xlpm.k)
  )</f>
        <v>4</v>
      </c>
      <c r="H16" s="10" t="str" cm="1">
        <f t="array" aca="1" ref="H1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7" spans="1:8" x14ac:dyDescent="0.2">
      <c r="A17" s="8">
        <v>14</v>
      </c>
      <c r="B17" s="8" t="str" cm="1">
        <f t="array" aca="1" ref="B1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GONZALEZ COLCHON, PABLO</v>
      </c>
      <c r="C17" s="8" cm="1">
        <f t="array" aca="1" ref="C17" ca="1">INDEX(tRealM[Año],RANDBETWEEN(1,ROWS(tRealM[Apellido2])))</f>
        <v>2010</v>
      </c>
      <c r="D17" s="8" t="str" cm="1">
        <f t="array" aca="1" ref="D17" ca="1">INDEX(tRealM[clubFórmula],RANDBETWEEN(1,ROWS(tRealM[Apellido2])))</f>
        <v>Club Natación SOS Bétera</v>
      </c>
      <c r="E17" s="9">
        <f>tRealM[[#This Row],[Tiempo1]]</f>
        <v>8.773148148148148E-2</v>
      </c>
      <c r="F17" s="9">
        <f>_xlfn.LET(
    _xlpm.k, tRealM[[#This Row],[Tiempo2]],
    IF(_xlpm.k="", "", _xlpm.k)
  )</f>
        <v>8.8287037037037039E-2</v>
      </c>
      <c r="G17" s="10">
        <f>_xlfn.LET(
    _xlpm.k, tRealM[[#This Row],[Puntos]],
    IF(_xlpm.k="", "", _xlpm.k)
  )</f>
        <v>3</v>
      </c>
      <c r="H17" s="10" t="str" cm="1">
        <f t="array" aca="1" ref="H1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8" spans="1:8" x14ac:dyDescent="0.2">
      <c r="A18" s="8">
        <v>15</v>
      </c>
      <c r="B18" s="8" t="str" cm="1">
        <f t="array" aca="1" ref="B1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TORRES FRAILE, PAU</v>
      </c>
      <c r="C18" s="8" cm="1">
        <f t="array" aca="1" ref="C18" ca="1">INDEX(tRealM[Año],RANDBETWEEN(1,ROWS(tRealM[Apellido2])))</f>
        <v>2007</v>
      </c>
      <c r="D18" s="8" t="str" cm="1">
        <f t="array" aca="1" ref="D18" ca="1">INDEX(tRealM[clubFórmula],RANDBETWEEN(1,ROWS(tRealM[Apellido2])))</f>
        <v>Club Deportivo Sirenas de Catarroja</v>
      </c>
      <c r="E18" s="9">
        <f>tRealM[[#This Row],[Tiempo1]]</f>
        <v>8.8703703703703701E-2</v>
      </c>
      <c r="F18" s="9" t="str">
        <f>_xlfn.LET(
    _xlpm.k, tRealM[[#This Row],[Tiempo2]],
    IF(_xlpm.k="", "", _xlpm.k)
  )</f>
        <v>Descalificado 10</v>
      </c>
      <c r="G18" s="10">
        <f>_xlfn.LET(
    _xlpm.k, tRealM[[#This Row],[Puntos]],
    IF(_xlpm.k="", "", _xlpm.k)
  )</f>
        <v>2</v>
      </c>
      <c r="H18" s="10" t="str" cm="1">
        <f t="array" aca="1" ref="H1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9" spans="1:8" x14ac:dyDescent="0.2">
      <c r="A19" s="8">
        <v>16</v>
      </c>
      <c r="B19" s="8" t="str" cm="1">
        <f t="array" aca="1" ref="B1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AGUADO YANES, IAN</v>
      </c>
      <c r="C19" s="8" cm="1">
        <f t="array" aca="1" ref="C19" ca="1">INDEX(tRealM[Año],RANDBETWEEN(1,ROWS(tRealM[Apellido2])))</f>
        <v>2010</v>
      </c>
      <c r="D19" s="8" t="str" cm="1">
        <f t="array" aca="1" ref="D19" ca="1">INDEX(tRealM[clubFórmula],RANDBETWEEN(1,ROWS(tRealM[Apellido2])))</f>
        <v>Club Deportivo Unión Esgueva SOSVA</v>
      </c>
      <c r="E19" s="9">
        <f>tRealM[[#This Row],[Tiempo1]]</f>
        <v>8.8449074074074069E-2</v>
      </c>
      <c r="F19" s="9" t="str">
        <f>_xlfn.LET(
    _xlpm.k, tRealM[[#This Row],[Tiempo2]],
    IF(_xlpm.k="", "", _xlpm.k)
  )</f>
        <v/>
      </c>
      <c r="G19" s="10">
        <f>_xlfn.LET(
    _xlpm.k, tRealM[[#This Row],[Puntos]],
    IF(_xlpm.k="", "", _xlpm.k)
  )</f>
        <v>1</v>
      </c>
      <c r="H19" s="10" t="str" cm="1">
        <f t="array" aca="1" ref="H1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0" spans="1:8" x14ac:dyDescent="0.2">
      <c r="A20" s="8">
        <v>17</v>
      </c>
      <c r="B20" s="8" t="str" cm="1">
        <f t="array" aca="1" ref="B2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GONZÁLEZ MARTÍN, AARON</v>
      </c>
      <c r="C20" s="8" cm="1">
        <f t="array" aca="1" ref="C20" ca="1">INDEX(tRealM[Año],RANDBETWEEN(1,ROWS(tRealM[Apellido2])))</f>
        <v>2005</v>
      </c>
      <c r="D20" s="8" t="str" cm="1">
        <f t="array" aca="1" ref="D20" ca="1">INDEX(tRealM[clubFórmula],RANDBETWEEN(1,ROWS(tRealM[Apellido2])))</f>
        <v>Sos Pielagos Playas de Cantabria</v>
      </c>
      <c r="E20" s="9">
        <f>tRealM[[#This Row],[Tiempo1]]</f>
        <v>8.9155092592592591E-2</v>
      </c>
      <c r="F20" s="9" t="str">
        <f>_xlfn.LET(
    _xlpm.k, tRealM[[#This Row],[Tiempo2]],
    IF(_xlpm.k="", "", _xlpm.k)
  )</f>
        <v/>
      </c>
      <c r="G20" s="10" t="str">
        <f>_xlfn.LET(
    _xlpm.k, tRealM[[#This Row],[Puntos]],
    IF(_xlpm.k="", "", _xlpm.k)
  )</f>
        <v/>
      </c>
      <c r="H20" s="10" t="str" cm="1">
        <f t="array" aca="1" ref="H2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1" spans="1:8" x14ac:dyDescent="0.2">
      <c r="A21" s="8">
        <v>18</v>
      </c>
      <c r="B21" s="8" t="str" cm="1">
        <f t="array" aca="1" ref="B2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COSTA SEMESHKO, LUCAS</v>
      </c>
      <c r="C21" s="8" cm="1">
        <f t="array" aca="1" ref="C21" ca="1">INDEX(tRealM[Año],RANDBETWEEN(1,ROWS(tRealM[Apellido2])))</f>
        <v>2011</v>
      </c>
      <c r="D21" s="8" t="str" cm="1">
        <f t="array" aca="1" ref="D21" ca="1">INDEX(tRealM[clubFórmula],RANDBETWEEN(1,ROWS(tRealM[Apellido2])))</f>
        <v>Alcarreño de Salvamento y Socorrismo</v>
      </c>
      <c r="E21" s="9">
        <f>tRealM[[#This Row],[Tiempo1]]</f>
        <v>8.9571759259259254E-2</v>
      </c>
      <c r="F21" s="9" t="str">
        <f>_xlfn.LET(
    _xlpm.k, tRealM[[#This Row],[Tiempo2]],
    IF(_xlpm.k="", "", _xlpm.k)
  )</f>
        <v/>
      </c>
      <c r="G21" s="10" t="str">
        <f>_xlfn.LET(
    _xlpm.k, tRealM[[#This Row],[Puntos]],
    IF(_xlpm.k="", "", _xlpm.k)
  )</f>
        <v/>
      </c>
      <c r="H21" s="10" t="str" cm="1">
        <f t="array" aca="1" ref="H2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2" spans="1:8" x14ac:dyDescent="0.2">
      <c r="A22" s="8">
        <v>19</v>
      </c>
      <c r="B22" s="8" t="str" cm="1">
        <f t="array" aca="1" ref="B2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LAVANDEIRA RODRIGUEZ, JOAQUÍN</v>
      </c>
      <c r="C22" s="8" cm="1">
        <f t="array" aca="1" ref="C22" ca="1">INDEX(tRealM[Año],RANDBETWEEN(1,ROWS(tRealM[Apellido2])))</f>
        <v>2010</v>
      </c>
      <c r="D22" s="8" t="str" cm="1">
        <f t="array" aca="1" ref="D22" ca="1">INDEX(tRealM[clubFórmula],RANDBETWEEN(1,ROWS(tRealM[Apellido2])))</f>
        <v>Club de Salvamento SVAT - Tarancón</v>
      </c>
      <c r="E22" s="9">
        <f>tRealM[[#This Row],[Tiempo1]]</f>
        <v>8.9664351851851856E-2</v>
      </c>
      <c r="F22" s="9" t="str">
        <f>_xlfn.LET(
    _xlpm.k, tRealM[[#This Row],[Tiempo2]],
    IF(_xlpm.k="", "", _xlpm.k)
  )</f>
        <v/>
      </c>
      <c r="G22" s="10" t="str">
        <f>_xlfn.LET(
    _xlpm.k, tRealM[[#This Row],[Puntos]],
    IF(_xlpm.k="", "", _xlpm.k)
  )</f>
        <v/>
      </c>
      <c r="H22" s="10" t="str" cm="1">
        <f t="array" aca="1" ref="H2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3" spans="1:8" x14ac:dyDescent="0.2">
      <c r="A23" s="8">
        <v>20</v>
      </c>
      <c r="B23" s="8" t="str" cm="1">
        <f t="array" aca="1" ref="B2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VEGA ARIAS, ANDRÉS</v>
      </c>
      <c r="C23" s="8" cm="1">
        <f t="array" aca="1" ref="C23" ca="1">INDEX(tRealM[Año],RANDBETWEEN(1,ROWS(tRealM[Apellido2])))</f>
        <v>2007</v>
      </c>
      <c r="D23" s="8" t="str" cm="1">
        <f t="array" aca="1" ref="D23" ca="1">INDEX(tRealM[clubFórmula],RANDBETWEEN(1,ROWS(tRealM[Apellido2])))</f>
        <v>Club Salvamento y Natación Silla</v>
      </c>
      <c r="E23" s="9">
        <f>tRealM[[#This Row],[Tiempo1]]</f>
        <v>8.9733796296296298E-2</v>
      </c>
      <c r="F23" s="9" t="str">
        <f>_xlfn.LET(
    _xlpm.k, tRealM[[#This Row],[Tiempo2]],
    IF(_xlpm.k="", "", _xlpm.k)
  )</f>
        <v/>
      </c>
      <c r="G23" s="10" t="str">
        <f>_xlfn.LET(
    _xlpm.k, tRealM[[#This Row],[Puntos]],
    IF(_xlpm.k="", "", _xlpm.k)
  )</f>
        <v/>
      </c>
      <c r="H23" s="10" t="str" cm="1">
        <f t="array" aca="1" ref="H2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4" spans="1:8" x14ac:dyDescent="0.2">
      <c r="A24" s="8">
        <v>21</v>
      </c>
      <c r="B24" s="8" t="str" cm="1">
        <f t="array" aca="1" ref="B2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JUAN MATHIS, EDUARDO</v>
      </c>
      <c r="C24" s="8" cm="1">
        <f t="array" aca="1" ref="C24" ca="1">INDEX(tRealM[Año],RANDBETWEEN(1,ROWS(tRealM[Apellido2])))</f>
        <v>2005</v>
      </c>
      <c r="D24" s="8" t="str" cm="1">
        <f t="array" aca="1" ref="D24" ca="1">INDEX(tRealM[clubFórmula],RANDBETWEEN(1,ROWS(tRealM[Apellido2])))</f>
        <v>Club Laguna SOS</v>
      </c>
      <c r="E24" s="9">
        <f>tRealM[[#This Row],[Tiempo1]]</f>
        <v>8.9745370370370364E-2</v>
      </c>
      <c r="F24" s="9" t="str">
        <f>_xlfn.LET(
    _xlpm.k, tRealM[[#This Row],[Tiempo2]],
    IF(_xlpm.k="", "", _xlpm.k)
  )</f>
        <v/>
      </c>
      <c r="G24" s="10" t="str">
        <f>_xlfn.LET(
    _xlpm.k, tRealM[[#This Row],[Puntos]],
    IF(_xlpm.k="", "", _xlpm.k)
  )</f>
        <v/>
      </c>
      <c r="H24" s="10" t="str" cm="1">
        <f t="array" aca="1" ref="H2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5" spans="1:8" x14ac:dyDescent="0.2">
      <c r="A25" s="8">
        <v>22</v>
      </c>
      <c r="B25" s="8" t="str" cm="1">
        <f t="array" aca="1" ref="B2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ARTIDIELLO MORA, ALEJANDRO</v>
      </c>
      <c r="C25" s="8" cm="1">
        <f t="array" aca="1" ref="C25" ca="1">INDEX(tRealM[Año],RANDBETWEEN(1,ROWS(tRealM[Apellido2])))</f>
        <v>2010</v>
      </c>
      <c r="D25" s="8" t="str" cm="1">
        <f t="array" aca="1" ref="D25" ca="1">INDEX(tRealM[clubFórmula],RANDBETWEEN(1,ROWS(tRealM[Apellido2])))</f>
        <v>C. D. SOS La Bañeza</v>
      </c>
      <c r="E25" s="9">
        <f>tRealM[[#This Row],[Tiempo1]]</f>
        <v>8.9826388888888886E-2</v>
      </c>
      <c r="F25" s="9" t="str">
        <f>_xlfn.LET(
    _xlpm.k, tRealM[[#This Row],[Tiempo2]],
    IF(_xlpm.k="", "", _xlpm.k)
  )</f>
        <v/>
      </c>
      <c r="G25" s="10" t="str">
        <f>_xlfn.LET(
    _xlpm.k, tRealM[[#This Row],[Puntos]],
    IF(_xlpm.k="", "", _xlpm.k)
  )</f>
        <v/>
      </c>
      <c r="H25" s="10" t="str" cm="1">
        <f t="array" aca="1" ref="H2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6" spans="1:8" x14ac:dyDescent="0.2">
      <c r="A26" s="8">
        <v>23</v>
      </c>
      <c r="B26" s="8" t="str" cm="1">
        <f t="array" aca="1" ref="B2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FONTANA DE LAS PEÑAS, VICTOR</v>
      </c>
      <c r="C26" s="8" cm="1">
        <f t="array" aca="1" ref="C26" ca="1">INDEX(tRealM[Año],RANDBETWEEN(1,ROWS(tRealM[Apellido2])))</f>
        <v>2008</v>
      </c>
      <c r="D26" s="8" t="str" cm="1">
        <f t="array" aca="1" ref="D26" ca="1">INDEX(tRealM[clubFórmula],RANDBETWEEN(1,ROWS(tRealM[Apellido2])))</f>
        <v>Club Playas de Castro Urdiales</v>
      </c>
      <c r="E26" s="9">
        <f>tRealM[[#This Row],[Tiempo1]]</f>
        <v>8.9826388888888886E-2</v>
      </c>
      <c r="F26" s="9" t="str">
        <f>_xlfn.LET(
    _xlpm.k, tRealM[[#This Row],[Tiempo2]],
    IF(_xlpm.k="", "", _xlpm.k)
  )</f>
        <v/>
      </c>
      <c r="G26" s="10" t="str">
        <f>_xlfn.LET(
    _xlpm.k, tRealM[[#This Row],[Puntos]],
    IF(_xlpm.k="", "", _xlpm.k)
  )</f>
        <v/>
      </c>
      <c r="H26" s="10" t="str" cm="1">
        <f t="array" aca="1" ref="H2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7" spans="1:8" x14ac:dyDescent="0.2">
      <c r="A27" s="8">
        <v>24</v>
      </c>
      <c r="B27" s="8" t="str" cm="1">
        <f t="array" aca="1" ref="B2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CALVO GALLEGUILLOS, HUGO</v>
      </c>
      <c r="C27" s="8" cm="1">
        <f t="array" aca="1" ref="C27" ca="1">INDEX(tRealM[Año],RANDBETWEEN(1,ROWS(tRealM[Apellido2])))</f>
        <v>2010</v>
      </c>
      <c r="D27" s="8" t="str" cm="1">
        <f t="array" aca="1" ref="D27" ca="1">INDEX(tRealM[clubFórmula],RANDBETWEEN(1,ROWS(tRealM[Apellido2])))</f>
        <v>Club Leucante</v>
      </c>
      <c r="E27" s="9">
        <f>tRealM[[#This Row],[Tiempo1]]</f>
        <v>8.9826388888888886E-2</v>
      </c>
      <c r="F27" s="9" t="str">
        <f>_xlfn.LET(
    _xlpm.k, tRealM[[#This Row],[Tiempo2]],
    IF(_xlpm.k="", "", _xlpm.k)
  )</f>
        <v/>
      </c>
      <c r="G27" s="10" t="str">
        <f>_xlfn.LET(
    _xlpm.k, tRealM[[#This Row],[Puntos]],
    IF(_xlpm.k="", "", _xlpm.k)
  )</f>
        <v/>
      </c>
      <c r="H27" s="10" t="str" cm="1">
        <f t="array" aca="1" ref="H2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8" spans="1:8" x14ac:dyDescent="0.2">
      <c r="A28" s="8">
        <v>25</v>
      </c>
      <c r="B28" s="8" t="str" cm="1">
        <f t="array" aca="1" ref="B2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FONTANA MESÍAS, DAVID</v>
      </c>
      <c r="C28" s="8" cm="1">
        <f t="array" aca="1" ref="C28" ca="1">INDEX(tRealM[Año],RANDBETWEEN(1,ROWS(tRealM[Apellido2])))</f>
        <v>2007</v>
      </c>
      <c r="D28" s="8" t="str" cm="1">
        <f t="array" aca="1" ref="D28" ca="1">INDEX(tRealM[clubFórmula],RANDBETWEEN(1,ROWS(tRealM[Apellido2])))</f>
        <v>Alcarreño de Salvamento y Socorrismo</v>
      </c>
      <c r="E28" s="9">
        <f>tRealM[[#This Row],[Tiempo1]]</f>
        <v>9.0289351851851857E-2</v>
      </c>
      <c r="F28" s="9" t="str">
        <f>_xlfn.LET(
    _xlpm.k, tRealM[[#This Row],[Tiempo2]],
    IF(_xlpm.k="", "", _xlpm.k)
  )</f>
        <v/>
      </c>
      <c r="G28" s="10" t="str">
        <f>_xlfn.LET(
    _xlpm.k, tRealM[[#This Row],[Puntos]],
    IF(_xlpm.k="", "", _xlpm.k)
  )</f>
        <v/>
      </c>
      <c r="H28" s="10" t="str" cm="1">
        <f t="array" aca="1" ref="H2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29" spans="1:8" x14ac:dyDescent="0.2">
      <c r="A29" s="8">
        <v>26</v>
      </c>
      <c r="B29" s="8" t="str" cm="1">
        <f t="array" aca="1" ref="B2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LAVANDEIRA DUBITA, LEO</v>
      </c>
      <c r="C29" s="8" cm="1">
        <f t="array" aca="1" ref="C29" ca="1">INDEX(tRealM[Año],RANDBETWEEN(1,ROWS(tRealM[Apellido2])))</f>
        <v>2010</v>
      </c>
      <c r="D29" s="8" t="str" cm="1">
        <f t="array" aca="1" ref="D29" ca="1">INDEX(tRealM[clubFórmula],RANDBETWEEN(1,ROWS(tRealM[Apellido2])))</f>
        <v>Club Deportivo Talasa Torremolinos</v>
      </c>
      <c r="E29" s="9">
        <f>tRealM[[#This Row],[Tiempo1]]</f>
        <v>9.0960648148148152E-2</v>
      </c>
      <c r="F29" s="9" t="str">
        <f>_xlfn.LET(
    _xlpm.k, tRealM[[#This Row],[Tiempo2]],
    IF(_xlpm.k="", "", _xlpm.k)
  )</f>
        <v/>
      </c>
      <c r="G29" s="10" t="str">
        <f>_xlfn.LET(
    _xlpm.k, tRealM[[#This Row],[Puntos]],
    IF(_xlpm.k="", "", _xlpm.k)
  )</f>
        <v/>
      </c>
      <c r="H29" s="10" t="str" cm="1">
        <f t="array" aca="1" ref="H2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0" spans="1:8" x14ac:dyDescent="0.2">
      <c r="A30" s="8">
        <v>27</v>
      </c>
      <c r="B30" s="8" t="str" cm="1">
        <f t="array" aca="1" ref="B3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MEDINA DÍAZ, HUGO</v>
      </c>
      <c r="C30" s="8" cm="1">
        <f t="array" aca="1" ref="C30" ca="1">INDEX(tRealM[Año],RANDBETWEEN(1,ROWS(tRealM[Apellido2])))</f>
        <v>2008</v>
      </c>
      <c r="D30" s="8" t="str" cm="1">
        <f t="array" aca="1" ref="D30" ca="1">INDEX(tRealM[clubFórmula],RANDBETWEEN(1,ROWS(tRealM[Apellido2])))</f>
        <v>C.D.B. Vallecas S.O.S</v>
      </c>
      <c r="E30" s="9">
        <f>tRealM[[#This Row],[Tiempo1]]</f>
        <v>9.1134259259259262E-2</v>
      </c>
      <c r="F30" s="9" t="str">
        <f>_xlfn.LET(
    _xlpm.k, tRealM[[#This Row],[Tiempo2]],
    IF(_xlpm.k="", "", _xlpm.k)
  )</f>
        <v/>
      </c>
      <c r="G30" s="10" t="str">
        <f>_xlfn.LET(
    _xlpm.k, tRealM[[#This Row],[Puntos]],
    IF(_xlpm.k="", "", _xlpm.k)
  )</f>
        <v/>
      </c>
      <c r="H30" s="10" t="str" cm="1">
        <f t="array" aca="1" ref="H3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1" spans="1:8" x14ac:dyDescent="0.2">
      <c r="A31" s="8">
        <v>28</v>
      </c>
      <c r="B31" s="8" t="str" cm="1">
        <f t="array" aca="1" ref="B3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ESPARCIA GUIMIL, PAU</v>
      </c>
      <c r="C31" s="8" cm="1">
        <f t="array" aca="1" ref="C31" ca="1">INDEX(tRealM[Año],RANDBETWEEN(1,ROWS(tRealM[Apellido2])))</f>
        <v>2009</v>
      </c>
      <c r="D31" s="8" t="str" cm="1">
        <f t="array" aca="1" ref="D31" ca="1">INDEX(tRealM[clubFórmula],RANDBETWEEN(1,ROWS(tRealM[Apellido2])))</f>
        <v>Sos Pielagos Playas de Cantabria</v>
      </c>
      <c r="E31" s="9">
        <f>tRealM[[#This Row],[Tiempo1]]</f>
        <v>9.1203703703703703E-2</v>
      </c>
      <c r="F31" s="9" t="str">
        <f>_xlfn.LET(
    _xlpm.k, tRealM[[#This Row],[Tiempo2]],
    IF(_xlpm.k="", "", _xlpm.k)
  )</f>
        <v/>
      </c>
      <c r="G31" s="10" t="str">
        <f>_xlfn.LET(
    _xlpm.k, tRealM[[#This Row],[Puntos]],
    IF(_xlpm.k="", "", _xlpm.k)
  )</f>
        <v/>
      </c>
      <c r="H31" s="10" t="str" cm="1">
        <f t="array" aca="1" ref="H3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2" spans="1:8" x14ac:dyDescent="0.2">
      <c r="A32" s="8">
        <v>29</v>
      </c>
      <c r="B32" s="8" t="str" cm="1">
        <f t="array" aca="1" ref="B3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FONTANA PAJARES, ROBERTO</v>
      </c>
      <c r="C32" s="8" cm="1">
        <f t="array" aca="1" ref="C32" ca="1">INDEX(tRealM[Año],RANDBETWEEN(1,ROWS(tRealM[Apellido2])))</f>
        <v>2009</v>
      </c>
      <c r="D32" s="8" t="str" cm="1">
        <f t="array" aca="1" ref="D32" ca="1">INDEX(tRealM[clubFórmula],RANDBETWEEN(1,ROWS(tRealM[Apellido2])))</f>
        <v>Club Salvamento y Natación Silla</v>
      </c>
      <c r="E32" s="9">
        <f>tRealM[[#This Row],[Tiempo1]]</f>
        <v>9.1585648148148152E-2</v>
      </c>
      <c r="F32" s="9" t="str">
        <f>_xlfn.LET(
    _xlpm.k, tRealM[[#This Row],[Tiempo2]],
    IF(_xlpm.k="", "", _xlpm.k)
  )</f>
        <v/>
      </c>
      <c r="G32" s="10" t="str">
        <f>_xlfn.LET(
    _xlpm.k, tRealM[[#This Row],[Puntos]],
    IF(_xlpm.k="", "", _xlpm.k)
  )</f>
        <v/>
      </c>
      <c r="H32" s="10" t="str" cm="1">
        <f t="array" aca="1" ref="H3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3" spans="1:8" x14ac:dyDescent="0.2">
      <c r="A33" s="8">
        <v>30</v>
      </c>
      <c r="B33" s="8" t="str" cm="1">
        <f t="array" aca="1" ref="B3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MORIN HUERGA, SANTIAGO</v>
      </c>
      <c r="C33" s="8" cm="1">
        <f t="array" aca="1" ref="C33" ca="1">INDEX(tRealM[Año],RANDBETWEEN(1,ROWS(tRealM[Apellido2])))</f>
        <v>2006</v>
      </c>
      <c r="D33" s="8" t="str" cm="1">
        <f t="array" aca="1" ref="D33" ca="1">INDEX(tRealM[clubFórmula],RANDBETWEEN(1,ROWS(tRealM[Apellido2])))</f>
        <v>Club Natació Reus Ploms</v>
      </c>
      <c r="E33" s="9">
        <f>tRealM[[#This Row],[Tiempo1]]</f>
        <v>9.1736111111111115E-2</v>
      </c>
      <c r="F33" s="9" t="str">
        <f>_xlfn.LET(
    _xlpm.k, tRealM[[#This Row],[Tiempo2]],
    IF(_xlpm.k="", "", _xlpm.k)
  )</f>
        <v/>
      </c>
      <c r="G33" s="10" t="str">
        <f>_xlfn.LET(
    _xlpm.k, tRealM[[#This Row],[Puntos]],
    IF(_xlpm.k="", "", _xlpm.k)
  )</f>
        <v/>
      </c>
      <c r="H33" s="10" t="str" cm="1">
        <f t="array" aca="1" ref="H3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4" spans="1:8" x14ac:dyDescent="0.2">
      <c r="A34" s="8">
        <v>31</v>
      </c>
      <c r="B34" s="8" t="str" cm="1">
        <f t="array" aca="1" ref="B3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YAHYIOUI LLAMAS, OSCAR</v>
      </c>
      <c r="C34" s="8" cm="1">
        <f t="array" aca="1" ref="C34" ca="1">INDEX(tRealM[Año],RANDBETWEEN(1,ROWS(tRealM[Apellido2])))</f>
        <v>2005</v>
      </c>
      <c r="D34" s="8" t="str" cm="1">
        <f t="array" aca="1" ref="D34" ca="1">INDEX(tRealM[clubFórmula],RANDBETWEEN(1,ROWS(tRealM[Apellido2])))</f>
        <v>Club Natación SOS Bétera</v>
      </c>
      <c r="E34" s="9">
        <f>tRealM[[#This Row],[Tiempo1]]</f>
        <v>9.1886574074074079E-2</v>
      </c>
      <c r="F34" s="9" t="str">
        <f>_xlfn.LET(
    _xlpm.k, tRealM[[#This Row],[Tiempo2]],
    IF(_xlpm.k="", "", _xlpm.k)
  )</f>
        <v/>
      </c>
      <c r="G34" s="10" t="str">
        <f>_xlfn.LET(
    _xlpm.k, tRealM[[#This Row],[Puntos]],
    IF(_xlpm.k="", "", _xlpm.k)
  )</f>
        <v/>
      </c>
      <c r="H34" s="10" t="str" cm="1">
        <f t="array" aca="1" ref="H3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5" spans="1:8" x14ac:dyDescent="0.2">
      <c r="A35" s="8">
        <v>32</v>
      </c>
      <c r="B35" s="8" t="str" cm="1">
        <f t="array" aca="1" ref="B3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PEREZ BLANCO, LEO</v>
      </c>
      <c r="C35" s="8" cm="1">
        <f t="array" aca="1" ref="C35" ca="1">INDEX(tRealM[Año],RANDBETWEEN(1,ROWS(tRealM[Apellido2])))</f>
        <v>2007</v>
      </c>
      <c r="D35" s="8" t="str" cm="1">
        <f t="array" aca="1" ref="D35" ca="1">INDEX(tRealM[clubFórmula],RANDBETWEEN(1,ROWS(tRealM[Apellido2])))</f>
        <v>C lu b Salvamento Arteixo - SALVAR</v>
      </c>
      <c r="E35" s="9">
        <f>tRealM[[#This Row],[Tiempo1]]</f>
        <v>9.2037037037037042E-2</v>
      </c>
      <c r="F35" s="9" t="str">
        <f>_xlfn.LET(
    _xlpm.k, tRealM[[#This Row],[Tiempo2]],
    IF(_xlpm.k="", "", _xlpm.k)
  )</f>
        <v/>
      </c>
      <c r="G35" s="10" t="str">
        <f>_xlfn.LET(
    _xlpm.k, tRealM[[#This Row],[Puntos]],
    IF(_xlpm.k="", "", _xlpm.k)
  )</f>
        <v/>
      </c>
      <c r="H35" s="10" t="str" cm="1">
        <f t="array" aca="1" ref="H3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6" spans="1:8" x14ac:dyDescent="0.2">
      <c r="A36" s="8">
        <v>33</v>
      </c>
      <c r="B36" s="8" t="str" cm="1">
        <f t="array" aca="1" ref="B3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GALLARDO GIMÉNEZ, PAU</v>
      </c>
      <c r="C36" s="8" cm="1">
        <f t="array" aca="1" ref="C36" ca="1">INDEX(tRealM[Año],RANDBETWEEN(1,ROWS(tRealM[Apellido2])))</f>
        <v>2002</v>
      </c>
      <c r="D36" s="8" t="str" cm="1">
        <f t="array" aca="1" ref="D36" ca="1">INDEX(tRealM[clubFórmula],RANDBETWEEN(1,ROWS(tRealM[Apellido2])))</f>
        <v>Club Amics de Riudoms</v>
      </c>
      <c r="E36" s="9">
        <f>tRealM[[#This Row],[Tiempo1]]</f>
        <v>9.166666666666666E-2</v>
      </c>
      <c r="F36" s="9" t="str">
        <f>_xlfn.LET(
    _xlpm.k, tRealM[[#This Row],[Tiempo2]],
    IF(_xlpm.k="", "", _xlpm.k)
  )</f>
        <v/>
      </c>
      <c r="G36" s="10" t="str">
        <f>_xlfn.LET(
    _xlpm.k, tRealM[[#This Row],[Puntos]],
    IF(_xlpm.k="", "", _xlpm.k)
  )</f>
        <v/>
      </c>
      <c r="H36" s="10" t="str" cm="1">
        <f t="array" aca="1" ref="H3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7" spans="1:8" x14ac:dyDescent="0.2">
      <c r="A37" s="8">
        <v>34</v>
      </c>
      <c r="B37" s="8" t="str" cm="1">
        <f t="array" aca="1" ref="B3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RUBIO GONZALEZ, ERIK</v>
      </c>
      <c r="C37" s="8" cm="1">
        <f t="array" aca="1" ref="C37" ca="1">INDEX(tRealM[Año],RANDBETWEEN(1,ROWS(tRealM[Apellido2])))</f>
        <v>2005</v>
      </c>
      <c r="D37" s="8" t="str" cm="1">
        <f t="array" aca="1" ref="D37" ca="1">INDEX(tRealM[clubFórmula],RANDBETWEEN(1,ROWS(tRealM[Apellido2])))</f>
        <v>Club A.C.N. Marisma</v>
      </c>
      <c r="E37" s="9">
        <f>tRealM[[#This Row],[Tiempo1]]</f>
        <v>9.2662037037037043E-2</v>
      </c>
      <c r="F37" s="9" t="str">
        <f>_xlfn.LET(
    _xlpm.k, tRealM[[#This Row],[Tiempo2]],
    IF(_xlpm.k="", "", _xlpm.k)
  )</f>
        <v/>
      </c>
      <c r="G37" s="10" t="str">
        <f>_xlfn.LET(
    _xlpm.k, tRealM[[#This Row],[Puntos]],
    IF(_xlpm.k="", "", _xlpm.k)
  )</f>
        <v/>
      </c>
      <c r="H37" s="10" t="str" cm="1">
        <f t="array" aca="1" ref="H3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8" spans="1:8" x14ac:dyDescent="0.2">
      <c r="A38" s="8">
        <v>35</v>
      </c>
      <c r="B38" s="8" t="str" cm="1">
        <f t="array" aca="1" ref="B3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TELLO LOPEZ, JAUME</v>
      </c>
      <c r="C38" s="8" cm="1">
        <f t="array" aca="1" ref="C38" ca="1">INDEX(tRealM[Año],RANDBETWEEN(1,ROWS(tRealM[Apellido2])))</f>
        <v>2008</v>
      </c>
      <c r="D38" s="8" t="str" cm="1">
        <f t="array" aca="1" ref="D38" ca="1">INDEX(tRealM[clubFórmula],RANDBETWEEN(1,ROWS(tRealM[Apellido2])))</f>
        <v>Club Playas de Castro Urdiales</v>
      </c>
      <c r="E38" s="9">
        <f>tRealM[[#This Row],[Tiempo1]]</f>
        <v>9.240740740740741E-2</v>
      </c>
      <c r="F38" s="9" t="str">
        <f>_xlfn.LET(
    _xlpm.k, tRealM[[#This Row],[Tiempo2]],
    IF(_xlpm.k="", "", _xlpm.k)
  )</f>
        <v/>
      </c>
      <c r="G38" s="10" t="str">
        <f>_xlfn.LET(
    _xlpm.k, tRealM[[#This Row],[Puntos]],
    IF(_xlpm.k="", "", _xlpm.k)
  )</f>
        <v/>
      </c>
      <c r="H38" s="10" t="str" cm="1">
        <f t="array" aca="1" ref="H3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39" spans="1:8" x14ac:dyDescent="0.2">
      <c r="A39" s="8">
        <v>36</v>
      </c>
      <c r="B39" s="8" t="str" cm="1">
        <f t="array" aca="1" ref="B3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AGUDO LÓPEZ, JAUME</v>
      </c>
      <c r="C39" s="8" cm="1">
        <f t="array" aca="1" ref="C39" ca="1">INDEX(tRealM[Año],RANDBETWEEN(1,ROWS(tRealM[Apellido2])))</f>
        <v>2008</v>
      </c>
      <c r="D39" s="8" t="str" cm="1">
        <f t="array" aca="1" ref="D39" ca="1">INDEX(tRealM[clubFórmula],RANDBETWEEN(1,ROWS(tRealM[Apellido2])))</f>
        <v>Club Deportivo Guardavidas Cuenca</v>
      </c>
      <c r="E39" s="9">
        <f>tRealM[[#This Row],[Tiempo1]]</f>
        <v>9.2453703703703705E-2</v>
      </c>
      <c r="F39" s="9" t="str">
        <f>_xlfn.LET(
    _xlpm.k, tRealM[[#This Row],[Tiempo2]],
    IF(_xlpm.k="", "", _xlpm.k)
  )</f>
        <v/>
      </c>
      <c r="G39" s="10" t="str">
        <f>_xlfn.LET(
    _xlpm.k, tRealM[[#This Row],[Puntos]],
    IF(_xlpm.k="", "", _xlpm.k)
  )</f>
        <v/>
      </c>
      <c r="H39" s="10" t="str" cm="1">
        <f t="array" aca="1" ref="H3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0" spans="1:8" x14ac:dyDescent="0.2">
      <c r="A40" s="8">
        <v>37</v>
      </c>
      <c r="B40" s="8" t="str" cm="1">
        <f t="array" aca="1" ref="B4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MANZANO SANCHEZ, GUILLERMO</v>
      </c>
      <c r="C40" s="8" cm="1">
        <f t="array" aca="1" ref="C40" ca="1">INDEX(tRealM[Año],RANDBETWEEN(1,ROWS(tRealM[Apellido2])))</f>
        <v>2006</v>
      </c>
      <c r="D40" s="8" t="str" cm="1">
        <f t="array" aca="1" ref="D40" ca="1">INDEX(tRealM[clubFórmula],RANDBETWEEN(1,ROWS(tRealM[Apellido2])))</f>
        <v>Club Deportivo Sirenas de Catarroja</v>
      </c>
      <c r="E40" s="9">
        <f>tRealM[[#This Row],[Tiempo1]]</f>
        <v>9.2650462962962962E-2</v>
      </c>
      <c r="F40" s="9" t="str">
        <f>_xlfn.LET(
    _xlpm.k, tRealM[[#This Row],[Tiempo2]],
    IF(_xlpm.k="", "", _xlpm.k)
  )</f>
        <v/>
      </c>
      <c r="G40" s="10" t="str">
        <f>_xlfn.LET(
    _xlpm.k, tRealM[[#This Row],[Puntos]],
    IF(_xlpm.k="", "", _xlpm.k)
  )</f>
        <v/>
      </c>
      <c r="H40" s="10" t="str" cm="1">
        <f t="array" aca="1" ref="H4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1" spans="1:8" x14ac:dyDescent="0.2">
      <c r="A41" s="8">
        <v>38</v>
      </c>
      <c r="B41" s="8" t="str" cm="1">
        <f t="array" aca="1" ref="B4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TORRES TORRALBO, ADRIAN</v>
      </c>
      <c r="C41" s="8" cm="1">
        <f t="array" aca="1" ref="C41" ca="1">INDEX(tRealM[Año],RANDBETWEEN(1,ROWS(tRealM[Apellido2])))</f>
        <v>2006</v>
      </c>
      <c r="D41" s="8" t="str" cm="1">
        <f t="array" aca="1" ref="D41" ca="1">INDEX(tRealM[clubFórmula],RANDBETWEEN(1,ROWS(tRealM[Apellido2])))</f>
        <v>Club Deportivo Sirenas de Catarroja</v>
      </c>
      <c r="E41" s="9">
        <f>tRealM[[#This Row],[Tiempo1]]</f>
        <v>9.3055555555555558E-2</v>
      </c>
      <c r="F41" s="9" t="str">
        <f>_xlfn.LET(
    _xlpm.k, tRealM[[#This Row],[Tiempo2]],
    IF(_xlpm.k="", "", _xlpm.k)
  )</f>
        <v/>
      </c>
      <c r="G41" s="10" t="str">
        <f>_xlfn.LET(
    _xlpm.k, tRealM[[#This Row],[Puntos]],
    IF(_xlpm.k="", "", _xlpm.k)
  )</f>
        <v/>
      </c>
      <c r="H41" s="10" t="str" cm="1">
        <f t="array" aca="1" ref="H4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2" spans="1:8" x14ac:dyDescent="0.2">
      <c r="A42" s="8">
        <v>39</v>
      </c>
      <c r="B42" s="8" t="str" cm="1">
        <f t="array" aca="1" ref="B4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FERRANDIZ COLCHON, HUGO</v>
      </c>
      <c r="C42" s="8" cm="1">
        <f t="array" aca="1" ref="C42" ca="1">INDEX(tRealM[Año],RANDBETWEEN(1,ROWS(tRealM[Apellido2])))</f>
        <v>2008</v>
      </c>
      <c r="D42" s="8" t="str" cm="1">
        <f t="array" aca="1" ref="D42" ca="1">INDEX(tRealM[clubFórmula],RANDBETWEEN(1,ROWS(tRealM[Apellido2])))</f>
        <v>C. D. SOS La Bañeza</v>
      </c>
      <c r="E42" s="9">
        <f>tRealM[[#This Row],[Tiempo1]]</f>
        <v>9.3333333333333338E-2</v>
      </c>
      <c r="F42" s="9" t="str">
        <f>_xlfn.LET(
    _xlpm.k, tRealM[[#This Row],[Tiempo2]],
    IF(_xlpm.k="", "", _xlpm.k)
  )</f>
        <v/>
      </c>
      <c r="G42" s="10" t="str">
        <f>_xlfn.LET(
    _xlpm.k, tRealM[[#This Row],[Puntos]],
    IF(_xlpm.k="", "", _xlpm.k)
  )</f>
        <v/>
      </c>
      <c r="H42" s="10" t="str" cm="1">
        <f t="array" aca="1" ref="H4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3" spans="1:8" x14ac:dyDescent="0.2">
      <c r="A43" s="8">
        <v>40</v>
      </c>
      <c r="B43" s="8" t="str" cm="1">
        <f t="array" aca="1" ref="B4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MUSTÉ RODRIGUEZ, PEDRO</v>
      </c>
      <c r="C43" s="8" cm="1">
        <f t="array" aca="1" ref="C43" ca="1">INDEX(tRealM[Año],RANDBETWEEN(1,ROWS(tRealM[Apellido2])))</f>
        <v>2008</v>
      </c>
      <c r="D43" s="8" t="str" cm="1">
        <f t="array" aca="1" ref="D43" ca="1">INDEX(tRealM[clubFórmula],RANDBETWEEN(1,ROWS(tRealM[Apellido2])))</f>
        <v>Club Salvamento y Socorrismo Benavente</v>
      </c>
      <c r="E43" s="9">
        <f>tRealM[[#This Row],[Tiempo1]]</f>
        <v>9.3391203703703699E-2</v>
      </c>
      <c r="F43" s="9" t="str">
        <f>_xlfn.LET(
    _xlpm.k, tRealM[[#This Row],[Tiempo2]],
    IF(_xlpm.k="", "", _xlpm.k)
  )</f>
        <v/>
      </c>
      <c r="G43" s="10" t="str">
        <f>_xlfn.LET(
    _xlpm.k, tRealM[[#This Row],[Puntos]],
    IF(_xlpm.k="", "", _xlpm.k)
  )</f>
        <v/>
      </c>
      <c r="H43" s="10" t="str" cm="1">
        <f t="array" aca="1" ref="H4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4" spans="1:8" x14ac:dyDescent="0.2">
      <c r="A44" s="8">
        <v>41</v>
      </c>
      <c r="B44" s="8" t="str" cm="1">
        <f t="array" aca="1" ref="B4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MORIN SANCHEZ, LAS</v>
      </c>
      <c r="C44" s="8" cm="1">
        <f t="array" aca="1" ref="C44" ca="1">INDEX(tRealM[Año],RANDBETWEEN(1,ROWS(tRealM[Apellido2])))</f>
        <v>2009</v>
      </c>
      <c r="D44" s="8" t="str" cm="1">
        <f t="array" aca="1" ref="D44" ca="1">INDEX(tRealM[clubFórmula],RANDBETWEEN(1,ROWS(tRealM[Apellido2])))</f>
        <v>Club Natación y Salvamento Oriol Imperial</v>
      </c>
      <c r="E44" s="9">
        <f>tRealM[[#This Row],[Tiempo1]]</f>
        <v>9.3460648148148154E-2</v>
      </c>
      <c r="F44" s="9" t="str">
        <f>_xlfn.LET(
    _xlpm.k, tRealM[[#This Row],[Tiempo2]],
    IF(_xlpm.k="", "", _xlpm.k)
  )</f>
        <v/>
      </c>
      <c r="G44" s="10" t="str">
        <f>_xlfn.LET(
    _xlpm.k, tRealM[[#This Row],[Puntos]],
    IF(_xlpm.k="", "", _xlpm.k)
  )</f>
        <v/>
      </c>
      <c r="H44" s="10" t="str" cm="1">
        <f t="array" aca="1" ref="H4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5" spans="1:8" x14ac:dyDescent="0.2">
      <c r="A45" s="8">
        <v>42</v>
      </c>
      <c r="B45" s="8" t="str" cm="1">
        <f t="array" aca="1" ref="B4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TOURÍS JAGHNINE, PABLO</v>
      </c>
      <c r="C45" s="8" cm="1">
        <f t="array" aca="1" ref="C45" ca="1">INDEX(tRealM[Año],RANDBETWEEN(1,ROWS(tRealM[Apellido2])))</f>
        <v>2009</v>
      </c>
      <c r="D45" s="8" t="str" cm="1">
        <f t="array" aca="1" ref="D45" ca="1">INDEX(tRealM[clubFórmula],RANDBETWEEN(1,ROWS(tRealM[Apellido2])))</f>
        <v>C . D . E Pacífico Salvamento</v>
      </c>
      <c r="E45" s="9">
        <f>tRealM[[#This Row],[Tiempo1]]</f>
        <v>9.3518518518518515E-2</v>
      </c>
      <c r="F45" s="9" t="str">
        <f>_xlfn.LET(
    _xlpm.k, tRealM[[#This Row],[Tiempo2]],
    IF(_xlpm.k="", "", _xlpm.k)
  )</f>
        <v/>
      </c>
      <c r="G45" s="10" t="str">
        <f>_xlfn.LET(
    _xlpm.k, tRealM[[#This Row],[Puntos]],
    IF(_xlpm.k="", "", _xlpm.k)
  )</f>
        <v/>
      </c>
      <c r="H45" s="10" t="str" cm="1">
        <f t="array" aca="1" ref="H4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6" spans="1:8" x14ac:dyDescent="0.2">
      <c r="A46" s="8">
        <v>43</v>
      </c>
      <c r="B46" s="8" t="str" cm="1">
        <f t="array" aca="1" ref="B4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SALINAS MARTINEZ, ISMAEL</v>
      </c>
      <c r="C46" s="8" cm="1">
        <f t="array" aca="1" ref="C46" ca="1">INDEX(tRealM[Año],RANDBETWEEN(1,ROWS(tRealM[Apellido2])))</f>
        <v>2008</v>
      </c>
      <c r="D46" s="8" t="str" cm="1">
        <f t="array" aca="1" ref="D46" ca="1">INDEX(tRealM[clubFórmula],RANDBETWEEN(1,ROWS(tRealM[Apellido2])))</f>
        <v>Club Playas de Castro Urdiales</v>
      </c>
      <c r="E46" s="9">
        <f>tRealM[[#This Row],[Tiempo1]]</f>
        <v>9.3703703703703706E-2</v>
      </c>
      <c r="F46" s="9" t="str">
        <f>_xlfn.LET(
    _xlpm.k, tRealM[[#This Row],[Tiempo2]],
    IF(_xlpm.k="", "", _xlpm.k)
  )</f>
        <v/>
      </c>
      <c r="G46" s="10" t="str">
        <f>_xlfn.LET(
    _xlpm.k, tRealM[[#This Row],[Puntos]],
    IF(_xlpm.k="", "", _xlpm.k)
  )</f>
        <v/>
      </c>
      <c r="H46" s="10" t="str" cm="1">
        <f t="array" aca="1" ref="H4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7" spans="1:8" x14ac:dyDescent="0.2">
      <c r="A47" s="8">
        <v>44</v>
      </c>
      <c r="B47" s="8" t="str" cm="1">
        <f t="array" aca="1" ref="B4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LÓPEZ TIRAPU, HANNIBAL</v>
      </c>
      <c r="C47" s="8" cm="1">
        <f t="array" aca="1" ref="C47" ca="1">INDEX(tRealM[Año],RANDBETWEEN(1,ROWS(tRealM[Apellido2])))</f>
        <v>2008</v>
      </c>
      <c r="D47" s="8" t="str" cm="1">
        <f t="array" aca="1" ref="D47" ca="1">INDEX(tRealM[clubFórmula],RANDBETWEEN(1,ROWS(tRealM[Apellido2])))</f>
        <v>Club Acuático Umia</v>
      </c>
      <c r="E47" s="9">
        <f>tRealM[[#This Row],[Tiempo1]]</f>
        <v>9.3969907407407405E-2</v>
      </c>
      <c r="F47" s="9" t="str">
        <f>_xlfn.LET(
    _xlpm.k, tRealM[[#This Row],[Tiempo2]],
    IF(_xlpm.k="", "", _xlpm.k)
  )</f>
        <v/>
      </c>
      <c r="G47" s="10" t="str">
        <f>_xlfn.LET(
    _xlpm.k, tRealM[[#This Row],[Puntos]],
    IF(_xlpm.k="", "", _xlpm.k)
  )</f>
        <v/>
      </c>
      <c r="H47" s="10" t="str" cm="1">
        <f t="array" aca="1" ref="H4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8" spans="1:8" x14ac:dyDescent="0.2">
      <c r="A48" s="8">
        <v>45</v>
      </c>
      <c r="B48" s="8" t="str" cm="1">
        <f t="array" aca="1" ref="B4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MARTINEZ LOPEZ, DANIEL</v>
      </c>
      <c r="C48" s="8" cm="1">
        <f t="array" aca="1" ref="C48" ca="1">INDEX(tRealM[Año],RANDBETWEEN(1,ROWS(tRealM[Apellido2])))</f>
        <v>2007</v>
      </c>
      <c r="D48" s="8" t="str" cm="1">
        <f t="array" aca="1" ref="D48" ca="1">INDEX(tRealM[clubFórmula],RANDBETWEEN(1,ROWS(tRealM[Apellido2])))</f>
        <v>C . D . E Pacífico Salvamento</v>
      </c>
      <c r="E48" s="9">
        <f>tRealM[[#This Row],[Tiempo1]]</f>
        <v>9.4247685185185184E-2</v>
      </c>
      <c r="F48" s="9" t="str">
        <f>_xlfn.LET(
    _xlpm.k, tRealM[[#This Row],[Tiempo2]],
    IF(_xlpm.k="", "", _xlpm.k)
  )</f>
        <v/>
      </c>
      <c r="G48" s="10" t="str">
        <f>_xlfn.LET(
    _xlpm.k, tRealM[[#This Row],[Puntos]],
    IF(_xlpm.k="", "", _xlpm.k)
  )</f>
        <v/>
      </c>
      <c r="H48" s="10" t="str" cm="1">
        <f t="array" aca="1" ref="H4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49" spans="1:8" x14ac:dyDescent="0.2">
      <c r="A49" s="8">
        <v>46</v>
      </c>
      <c r="B49" s="8" t="str" cm="1">
        <f t="array" aca="1" ref="B4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SAN FERMIN CENTELLES, UNAI</v>
      </c>
      <c r="C49" s="8" cm="1">
        <f t="array" aca="1" ref="C49" ca="1">INDEX(tRealM[Año],RANDBETWEEN(1,ROWS(tRealM[Apellido2])))</f>
        <v>2005</v>
      </c>
      <c r="D49" s="8" t="str" cm="1">
        <f t="array" aca="1" ref="D49" ca="1">INDEX(tRealM[clubFórmula],RANDBETWEEN(1,ROWS(tRealM[Apellido2])))</f>
        <v>C. D. SOS La Bañeza</v>
      </c>
      <c r="E49" s="9">
        <f>tRealM[[#This Row],[Tiempo1]]</f>
        <v>9.4340277777777773E-2</v>
      </c>
      <c r="F49" s="9" t="str">
        <f>_xlfn.LET(
    _xlpm.k, tRealM[[#This Row],[Tiempo2]],
    IF(_xlpm.k="", "", _xlpm.k)
  )</f>
        <v/>
      </c>
      <c r="G49" s="10" t="str">
        <f>_xlfn.LET(
    _xlpm.k, tRealM[[#This Row],[Puntos]],
    IF(_xlpm.k="", "", _xlpm.k)
  )</f>
        <v/>
      </c>
      <c r="H49" s="10" t="str" cm="1">
        <f t="array" aca="1" ref="H4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0" spans="1:8" x14ac:dyDescent="0.2">
      <c r="A50" s="8">
        <v>47</v>
      </c>
      <c r="B50" s="8" t="str" cm="1">
        <f t="array" aca="1" ref="B5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CALVO PEREZ, IVÁN</v>
      </c>
      <c r="C50" s="8" cm="1">
        <f t="array" aca="1" ref="C50" ca="1">INDEX(tRealM[Año],RANDBETWEEN(1,ROWS(tRealM[Apellido2])))</f>
        <v>2006</v>
      </c>
      <c r="D50" s="8" t="str" cm="1">
        <f t="array" aca="1" ref="D50" ca="1">INDEX(tRealM[clubFórmula],RANDBETWEEN(1,ROWS(tRealM[Apellido2])))</f>
        <v>Club Playas de Castro Urdiales</v>
      </c>
      <c r="E50" s="9">
        <f>tRealM[[#This Row],[Tiempo1]]</f>
        <v>9.4456018518518522E-2</v>
      </c>
      <c r="F50" s="9" t="str">
        <f>_xlfn.LET(
    _xlpm.k, tRealM[[#This Row],[Tiempo2]],
    IF(_xlpm.k="", "", _xlpm.k)
  )</f>
        <v/>
      </c>
      <c r="G50" s="10" t="str">
        <f>_xlfn.LET(
    _xlpm.k, tRealM[[#This Row],[Puntos]],
    IF(_xlpm.k="", "", _xlpm.k)
  )</f>
        <v/>
      </c>
      <c r="H50" s="10" t="str" cm="1">
        <f t="array" aca="1" ref="H5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1" spans="1:8" x14ac:dyDescent="0.2">
      <c r="A51" s="8">
        <v>48</v>
      </c>
      <c r="B51" s="8" t="str" cm="1">
        <f t="array" aca="1" ref="B5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JORGE CORTES, ISMAEL</v>
      </c>
      <c r="C51" s="8" cm="1">
        <f t="array" aca="1" ref="C51" ca="1">INDEX(tRealM[Año],RANDBETWEEN(1,ROWS(tRealM[Apellido2])))</f>
        <v>2006</v>
      </c>
      <c r="D51" s="8" t="str" cm="1">
        <f t="array" aca="1" ref="D51" ca="1">INDEX(tRealM[clubFórmula],RANDBETWEEN(1,ROWS(tRealM[Apellido2])))</f>
        <v>Club Laguna SOS</v>
      </c>
      <c r="E51" s="9">
        <f>tRealM[[#This Row],[Tiempo1]]</f>
        <v>9.4780092592592596E-2</v>
      </c>
      <c r="F51" s="9" t="str">
        <f>_xlfn.LET(
    _xlpm.k, tRealM[[#This Row],[Tiempo2]],
    IF(_xlpm.k="", "", _xlpm.k)
  )</f>
        <v/>
      </c>
      <c r="G51" s="10" t="str">
        <f>_xlfn.LET(
    _xlpm.k, tRealM[[#This Row],[Puntos]],
    IF(_xlpm.k="", "", _xlpm.k)
  )</f>
        <v/>
      </c>
      <c r="H51" s="10" t="str" cm="1">
        <f t="array" aca="1" ref="H5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2" spans="1:8" x14ac:dyDescent="0.2">
      <c r="A52" s="8">
        <v>49</v>
      </c>
      <c r="B52" s="8" t="str" cm="1">
        <f t="array" aca="1" ref="B5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FERNÁNDEZ CARBALLAL, CARLES</v>
      </c>
      <c r="C52" s="8" cm="1">
        <f t="array" aca="1" ref="C52" ca="1">INDEX(tRealM[Año],RANDBETWEEN(1,ROWS(tRealM[Apellido2])))</f>
        <v>2010</v>
      </c>
      <c r="D52" s="8" t="str" cm="1">
        <f t="array" aca="1" ref="D52" ca="1">INDEX(tRealM[clubFórmula],RANDBETWEEN(1,ROWS(tRealM[Apellido2])))</f>
        <v>Club Salvamento y Socorrismo Benavente</v>
      </c>
      <c r="E52" s="9">
        <f>tRealM[[#This Row],[Tiempo1]]</f>
        <v>9.481481481481481E-2</v>
      </c>
      <c r="F52" s="9" t="str">
        <f>_xlfn.LET(
    _xlpm.k, tRealM[[#This Row],[Tiempo2]],
    IF(_xlpm.k="", "", _xlpm.k)
  )</f>
        <v/>
      </c>
      <c r="G52" s="10" t="str">
        <f>_xlfn.LET(
    _xlpm.k, tRealM[[#This Row],[Puntos]],
    IF(_xlpm.k="", "", _xlpm.k)
  )</f>
        <v/>
      </c>
      <c r="H52" s="10" t="str" cm="1">
        <f t="array" aca="1" ref="H5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3" spans="1:8" x14ac:dyDescent="0.2">
      <c r="A53" s="8">
        <v>50</v>
      </c>
      <c r="B53" s="8" t="str" cm="1">
        <f t="array" aca="1" ref="B5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INIESTA DIAZ, FAHD</v>
      </c>
      <c r="C53" s="8" cm="1">
        <f t="array" aca="1" ref="C53" ca="1">INDEX(tRealM[Año],RANDBETWEEN(1,ROWS(tRealM[Apellido2])))</f>
        <v>2009</v>
      </c>
      <c r="D53" s="8" t="str" cm="1">
        <f t="array" aca="1" ref="D53" ca="1">INDEX(tRealM[clubFórmula],RANDBETWEEN(1,ROWS(tRealM[Apellido2])))</f>
        <v>Club Playas de Castro Urdiales</v>
      </c>
      <c r="E53" s="9">
        <f>tRealM[[#This Row],[Tiempo1]]</f>
        <v>9.5196759259259259E-2</v>
      </c>
      <c r="F53" s="9" t="str">
        <f>_xlfn.LET(
    _xlpm.k, tRealM[[#This Row],[Tiempo2]],
    IF(_xlpm.k="", "", _xlpm.k)
  )</f>
        <v/>
      </c>
      <c r="G53" s="10" t="str">
        <f>_xlfn.LET(
    _xlpm.k, tRealM[[#This Row],[Puntos]],
    IF(_xlpm.k="", "", _xlpm.k)
  )</f>
        <v/>
      </c>
      <c r="H53" s="10" t="str" cm="1">
        <f t="array" aca="1" ref="H5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4" spans="1:8" x14ac:dyDescent="0.2">
      <c r="A54" s="8">
        <v>51</v>
      </c>
      <c r="B54" s="8" t="str" cm="1">
        <f t="array" aca="1" ref="B5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VEGA PIQUERAS, JAVIER</v>
      </c>
      <c r="C54" s="8" cm="1">
        <f t="array" aca="1" ref="C54" ca="1">INDEX(tRealM[Año],RANDBETWEEN(1,ROWS(tRealM[Apellido2])))</f>
        <v>2008</v>
      </c>
      <c r="D54" s="8" t="str" cm="1">
        <f t="array" aca="1" ref="D54" ca="1">INDEX(tRealM[clubFórmula],RANDBETWEEN(1,ROWS(tRealM[Apellido2])))</f>
        <v>Club Natació Reus Ploms</v>
      </c>
      <c r="E54" s="9">
        <f>tRealM[[#This Row],[Tiempo1]]</f>
        <v>9.5196759259259259E-2</v>
      </c>
      <c r="F54" s="9" t="str">
        <f>_xlfn.LET(
    _xlpm.k, tRealM[[#This Row],[Tiempo2]],
    IF(_xlpm.k="", "", _xlpm.k)
  )</f>
        <v/>
      </c>
      <c r="G54" s="10" t="str">
        <f>_xlfn.LET(
    _xlpm.k, tRealM[[#This Row],[Puntos]],
    IF(_xlpm.k="", "", _xlpm.k)
  )</f>
        <v/>
      </c>
      <c r="H54" s="10" t="str" cm="1">
        <f t="array" aca="1" ref="H5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5" spans="1:8" x14ac:dyDescent="0.2">
      <c r="A55" s="8">
        <v>52</v>
      </c>
      <c r="B55" s="8" t="str" cm="1">
        <f t="array" aca="1" ref="B5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FERRANDIZ SANCHEZ, VICTOR</v>
      </c>
      <c r="C55" s="8" cm="1">
        <f t="array" aca="1" ref="C55" ca="1">INDEX(tRealM[Año],RANDBETWEEN(1,ROWS(tRealM[Apellido2])))</f>
        <v>2009</v>
      </c>
      <c r="D55" s="8" t="str" cm="1">
        <f t="array" aca="1" ref="D55" ca="1">INDEX(tRealM[clubFórmula],RANDBETWEEN(1,ROWS(tRealM[Apellido2])))</f>
        <v>Club de Salvamento SVAT - Tarancón</v>
      </c>
      <c r="E55" s="9">
        <f>tRealM[[#This Row],[Tiempo1]]</f>
        <v>9.5613425925925921E-2</v>
      </c>
      <c r="F55" s="9" t="str">
        <f>_xlfn.LET(
    _xlpm.k, tRealM[[#This Row],[Tiempo2]],
    IF(_xlpm.k="", "", _xlpm.k)
  )</f>
        <v/>
      </c>
      <c r="G55" s="10" t="str">
        <f>_xlfn.LET(
    _xlpm.k, tRealM[[#This Row],[Puntos]],
    IF(_xlpm.k="", "", _xlpm.k)
  )</f>
        <v/>
      </c>
      <c r="H55" s="10" t="str" cm="1">
        <f t="array" aca="1" ref="H5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6" spans="1:8" x14ac:dyDescent="0.2">
      <c r="A56" s="8">
        <v>53</v>
      </c>
      <c r="B56" s="8" t="str" cm="1">
        <f t="array" aca="1" ref="B5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TELLO OLIVARES, DIEGO</v>
      </c>
      <c r="C56" s="8" cm="1">
        <f t="array" aca="1" ref="C56" ca="1">INDEX(tRealM[Año],RANDBETWEEN(1,ROWS(tRealM[Apellido2])))</f>
        <v>2005</v>
      </c>
      <c r="D56" s="8" t="str" cm="1">
        <f t="array" aca="1" ref="D56" ca="1">INDEX(tRealM[clubFórmula],RANDBETWEEN(1,ROWS(tRealM[Apellido2])))</f>
        <v>Real Club Náutico de Tenerife</v>
      </c>
      <c r="E56" s="9">
        <f>tRealM[[#This Row],[Tiempo1]]</f>
        <v>9.5694444444444443E-2</v>
      </c>
      <c r="F56" s="9" t="str">
        <f>_xlfn.LET(
    _xlpm.k, tRealM[[#This Row],[Tiempo2]],
    IF(_xlpm.k="", "", _xlpm.k)
  )</f>
        <v/>
      </c>
      <c r="G56" s="10" t="str">
        <f>_xlfn.LET(
    _xlpm.k, tRealM[[#This Row],[Puntos]],
    IF(_xlpm.k="", "", _xlpm.k)
  )</f>
        <v/>
      </c>
      <c r="H56" s="10" t="str" cm="1">
        <f t="array" aca="1" ref="H5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7" spans="1:8" x14ac:dyDescent="0.2">
      <c r="A57" s="8">
        <v>54</v>
      </c>
      <c r="B57" s="8" t="str" cm="1">
        <f t="array" aca="1" ref="B5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ALVAREZ ROMEU, ALEJANDRO</v>
      </c>
      <c r="C57" s="8" cm="1">
        <f t="array" aca="1" ref="C57" ca="1">INDEX(tRealM[Año],RANDBETWEEN(1,ROWS(tRealM[Apellido2])))</f>
        <v>2006</v>
      </c>
      <c r="D57" s="8" t="str" cm="1">
        <f t="array" aca="1" ref="D57" ca="1">INDEX(tRealM[clubFórmula],RANDBETWEEN(1,ROWS(tRealM[Apellido2])))</f>
        <v>Club Natación Guadalajara</v>
      </c>
      <c r="E57" s="9">
        <f>tRealM[[#This Row],[Tiempo1]]</f>
        <v>9.571759259259259E-2</v>
      </c>
      <c r="F57" s="9" t="str">
        <f>_xlfn.LET(
    _xlpm.k, tRealM[[#This Row],[Tiempo2]],
    IF(_xlpm.k="", "", _xlpm.k)
  )</f>
        <v/>
      </c>
      <c r="G57" s="10" t="str">
        <f>_xlfn.LET(
    _xlpm.k, tRealM[[#This Row],[Puntos]],
    IF(_xlpm.k="", "", _xlpm.k)
  )</f>
        <v/>
      </c>
      <c r="H57" s="10" t="str" cm="1">
        <f t="array" aca="1" ref="H5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8" spans="1:8" x14ac:dyDescent="0.2">
      <c r="A58" s="8">
        <v>55</v>
      </c>
      <c r="B58" s="8" t="str" cm="1">
        <f t="array" aca="1" ref="B5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MÍGUEZ DÍAZ, JORGE</v>
      </c>
      <c r="C58" s="8" cm="1">
        <f t="array" aca="1" ref="C58" ca="1">INDEX(tRealM[Año],RANDBETWEEN(1,ROWS(tRealM[Apellido2])))</f>
        <v>2010</v>
      </c>
      <c r="D58" s="8" t="str" cm="1">
        <f t="array" aca="1" ref="D58" ca="1">INDEX(tRealM[clubFórmula],RANDBETWEEN(1,ROWS(tRealM[Apellido2])))</f>
        <v>Club Salvamento Arteixo - SALVAR</v>
      </c>
      <c r="E58" s="9">
        <f>tRealM[[#This Row],[Tiempo1]]</f>
        <v>9.600694444444445E-2</v>
      </c>
      <c r="F58" s="9" t="str">
        <f>_xlfn.LET(
    _xlpm.k, tRealM[[#This Row],[Tiempo2]],
    IF(_xlpm.k="", "", _xlpm.k)
  )</f>
        <v/>
      </c>
      <c r="G58" s="10" t="str">
        <f>_xlfn.LET(
    _xlpm.k, tRealM[[#This Row],[Puntos]],
    IF(_xlpm.k="", "", _xlpm.k)
  )</f>
        <v/>
      </c>
      <c r="H58" s="10" t="str" cm="1">
        <f t="array" aca="1" ref="H5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59" spans="1:8" x14ac:dyDescent="0.2">
      <c r="A59" s="8">
        <v>56</v>
      </c>
      <c r="B59" s="8" t="str" cm="1">
        <f t="array" aca="1" ref="B5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RODRIGUEZ ALVAREZ, JOAN</v>
      </c>
      <c r="C59" s="8" cm="1">
        <f t="array" aca="1" ref="C59" ca="1">INDEX(tRealM[Año],RANDBETWEEN(1,ROWS(tRealM[Apellido2])))</f>
        <v>2004</v>
      </c>
      <c r="D59" s="8" t="str" cm="1">
        <f t="array" aca="1" ref="D59" ca="1">INDEX(tRealM[clubFórmula],RANDBETWEEN(1,ROWS(tRealM[Apellido2])))</f>
        <v>Club Salvamento Arteixo - SALVAR</v>
      </c>
      <c r="E59" s="9">
        <f>tRealM[[#This Row],[Tiempo1]]</f>
        <v>9.5914351851851848E-2</v>
      </c>
      <c r="F59" s="9" t="str">
        <f>_xlfn.LET(
    _xlpm.k, tRealM[[#This Row],[Tiempo2]],
    IF(_xlpm.k="", "", _xlpm.k)
  )</f>
        <v/>
      </c>
      <c r="G59" s="10" t="str">
        <f>_xlfn.LET(
    _xlpm.k, tRealM[[#This Row],[Puntos]],
    IF(_xlpm.k="", "", _xlpm.k)
  )</f>
        <v/>
      </c>
      <c r="H59" s="10" t="str" cm="1">
        <f t="array" aca="1" ref="H5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0" spans="1:8" x14ac:dyDescent="0.2">
      <c r="A60" s="8">
        <v>57</v>
      </c>
      <c r="B60" s="8" t="str" cm="1">
        <f t="array" aca="1" ref="B6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TRUNIN VILAGRAN, ISMAEL</v>
      </c>
      <c r="C60" s="8" cm="1">
        <f t="array" aca="1" ref="C60" ca="1">INDEX(tRealM[Año],RANDBETWEEN(1,ROWS(tRealM[Apellido2])))</f>
        <v>2008</v>
      </c>
      <c r="D60" s="8" t="str" cm="1">
        <f t="array" aca="1" ref="D60" ca="1">INDEX(tRealM[clubFórmula],RANDBETWEEN(1,ROWS(tRealM[Apellido2])))</f>
        <v>Club Natación Red Mar Top Ten Alicante</v>
      </c>
      <c r="E60" s="9">
        <f>tRealM[[#This Row],[Tiempo1]]</f>
        <v>9.6469907407407407E-2</v>
      </c>
      <c r="F60" s="9" t="str">
        <f>_xlfn.LET(
    _xlpm.k, tRealM[[#This Row],[Tiempo2]],
    IF(_xlpm.k="", "", _xlpm.k)
  )</f>
        <v/>
      </c>
      <c r="G60" s="10" t="str">
        <f>_xlfn.LET(
    _xlpm.k, tRealM[[#This Row],[Puntos]],
    IF(_xlpm.k="", "", _xlpm.k)
  )</f>
        <v/>
      </c>
      <c r="H60" s="10" t="str" cm="1">
        <f t="array" aca="1" ref="H6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1" spans="1:8" x14ac:dyDescent="0.2">
      <c r="A61" s="8">
        <v>58</v>
      </c>
      <c r="B61" s="8" t="str" cm="1">
        <f t="array" aca="1" ref="B6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IÑIGUEZ MARTÍN, RODRIGO</v>
      </c>
      <c r="C61" s="8" cm="1">
        <f t="array" aca="1" ref="C61" ca="1">INDEX(tRealM[Año],RANDBETWEEN(1,ROWS(tRealM[Apellido2])))</f>
        <v>2008</v>
      </c>
      <c r="D61" s="8" t="str" cm="1">
        <f t="array" aca="1" ref="D61" ca="1">INDEX(tRealM[clubFórmula],RANDBETWEEN(1,ROWS(tRealM[Apellido2])))</f>
        <v>C. D. SOS La Bañeza</v>
      </c>
      <c r="E61" s="9">
        <f>tRealM[[#This Row],[Tiempo1]]</f>
        <v>9.6597222222222223E-2</v>
      </c>
      <c r="F61" s="9" t="str">
        <f>_xlfn.LET(
    _xlpm.k, tRealM[[#This Row],[Tiempo2]],
    IF(_xlpm.k="", "", _xlpm.k)
  )</f>
        <v/>
      </c>
      <c r="G61" s="10" t="str">
        <f>_xlfn.LET(
    _xlpm.k, tRealM[[#This Row],[Puntos]],
    IF(_xlpm.k="", "", _xlpm.k)
  )</f>
        <v/>
      </c>
      <c r="H61" s="10" t="str" cm="1">
        <f t="array" aca="1" ref="H6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2" spans="1:8" x14ac:dyDescent="0.2">
      <c r="A62" s="8">
        <v>59</v>
      </c>
      <c r="B62" s="8" t="str" cm="1">
        <f t="array" aca="1" ref="B6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AGUDO GIMÉNEZ, NEO</v>
      </c>
      <c r="C62" s="8" cm="1">
        <f t="array" aca="1" ref="C62" ca="1">INDEX(tRealM[Año],RANDBETWEEN(1,ROWS(tRealM[Apellido2])))</f>
        <v>2005</v>
      </c>
      <c r="D62" s="8" t="str" cm="1">
        <f t="array" aca="1" ref="D62" ca="1">INDEX(tRealM[clubFórmula],RANDBETWEEN(1,ROWS(tRealM[Apellido2])))</f>
        <v>Club Natación SOS Bétera</v>
      </c>
      <c r="E62" s="9">
        <f>tRealM[[#This Row],[Tiempo1]]</f>
        <v>9.6655092592592598E-2</v>
      </c>
      <c r="F62" s="9" t="str">
        <f>_xlfn.LET(
    _xlpm.k, tRealM[[#This Row],[Tiempo2]],
    IF(_xlpm.k="", "", _xlpm.k)
  )</f>
        <v/>
      </c>
      <c r="G62" s="10" t="str">
        <f>_xlfn.LET(
    _xlpm.k, tRealM[[#This Row],[Puntos]],
    IF(_xlpm.k="", "", _xlpm.k)
  )</f>
        <v/>
      </c>
      <c r="H62" s="10" t="str" cm="1">
        <f t="array" aca="1" ref="H6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3" spans="1:8" x14ac:dyDescent="0.2">
      <c r="A63" s="8">
        <v>60</v>
      </c>
      <c r="B63" s="8" t="str" cm="1">
        <f t="array" aca="1" ref="B6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CHACON ORTIZ, LAS</v>
      </c>
      <c r="C63" s="8" cm="1">
        <f t="array" aca="1" ref="C63" ca="1">INDEX(tRealM[Año],RANDBETWEEN(1,ROWS(tRealM[Apellido2])))</f>
        <v>2010</v>
      </c>
      <c r="D63" s="8" t="str" cm="1">
        <f t="array" aca="1" ref="D63" ca="1">INDEX(tRealM[clubFórmula],RANDBETWEEN(1,ROWS(tRealM[Apellido2])))</f>
        <v>C l u b Natación y Salvamento A Estrada</v>
      </c>
      <c r="E63" s="9">
        <f>tRealM[[#This Row],[Tiempo1]]</f>
        <v>9.7280092592592599E-2</v>
      </c>
      <c r="F63" s="9" t="str">
        <f>_xlfn.LET(
    _xlpm.k, tRealM[[#This Row],[Tiempo2]],
    IF(_xlpm.k="", "", _xlpm.k)
  )</f>
        <v/>
      </c>
      <c r="G63" s="10" t="str">
        <f>_xlfn.LET(
    _xlpm.k, tRealM[[#This Row],[Puntos]],
    IF(_xlpm.k="", "", _xlpm.k)
  )</f>
        <v/>
      </c>
      <c r="H63" s="10" t="str" cm="1">
        <f t="array" aca="1" ref="H6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4" spans="1:8" x14ac:dyDescent="0.2">
      <c r="A64" s="8">
        <v>61</v>
      </c>
      <c r="B64" s="8" t="str" cm="1">
        <f t="array" aca="1" ref="B6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MIGUEL LOPEZ, ANIBAL</v>
      </c>
      <c r="C64" s="8" cm="1">
        <f t="array" aca="1" ref="C64" ca="1">INDEX(tRealM[Año],RANDBETWEEN(1,ROWS(tRealM[Apellido2])))</f>
        <v>2006</v>
      </c>
      <c r="D64" s="8" t="str" cm="1">
        <f t="array" aca="1" ref="D64" ca="1">INDEX(tRealM[clubFórmula],RANDBETWEEN(1,ROWS(tRealM[Apellido2])))</f>
        <v>Club Playas de Castro Urdiales</v>
      </c>
      <c r="E64" s="9">
        <f>tRealM[[#This Row],[Tiempo1]]</f>
        <v>9.7395833333333334E-2</v>
      </c>
      <c r="F64" s="9" t="str">
        <f>_xlfn.LET(
    _xlpm.k, tRealM[[#This Row],[Tiempo2]],
    IF(_xlpm.k="", "", _xlpm.k)
  )</f>
        <v/>
      </c>
      <c r="G64" s="10" t="str">
        <f>_xlfn.LET(
    _xlpm.k, tRealM[[#This Row],[Puntos]],
    IF(_xlpm.k="", "", _xlpm.k)
  )</f>
        <v/>
      </c>
      <c r="H64" s="10" t="str" cm="1">
        <f t="array" aca="1" ref="H6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5" spans="1:8" x14ac:dyDescent="0.2">
      <c r="A65" s="8">
        <v>62</v>
      </c>
      <c r="B65" s="8" t="str" cm="1">
        <f t="array" aca="1" ref="B6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CERVERA ABEIJÓN, ÁLVARO</v>
      </c>
      <c r="C65" s="8" cm="1">
        <f t="array" aca="1" ref="C65" ca="1">INDEX(tRealM[Año],RANDBETWEEN(1,ROWS(tRealM[Apellido2])))</f>
        <v>2007</v>
      </c>
      <c r="D65" s="8" t="str" cm="1">
        <f t="array" aca="1" ref="D65" ca="1">INDEX(tRealM[clubFórmula],RANDBETWEEN(1,ROWS(tRealM[Apellido2])))</f>
        <v>Club Deportivo Unión Esgueva SOSVA</v>
      </c>
      <c r="E65" s="9">
        <f>tRealM[[#This Row],[Tiempo1]]</f>
        <v>9.7592592592592592E-2</v>
      </c>
      <c r="F65" s="9" t="str">
        <f>_xlfn.LET(
    _xlpm.k, tRealM[[#This Row],[Tiempo2]],
    IF(_xlpm.k="", "", _xlpm.k)
  )</f>
        <v/>
      </c>
      <c r="G65" s="10" t="str">
        <f>_xlfn.LET(
    _xlpm.k, tRealM[[#This Row],[Puntos]],
    IF(_xlpm.k="", "", _xlpm.k)
  )</f>
        <v/>
      </c>
      <c r="H65" s="10" t="str" cm="1">
        <f t="array" aca="1" ref="H6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6" spans="1:8" x14ac:dyDescent="0.2">
      <c r="A66" s="8">
        <v>63</v>
      </c>
      <c r="B66" s="8" t="str" cm="1">
        <f t="array" aca="1" ref="B6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MÍGUEZ LOPEZ, ALEJANDRO</v>
      </c>
      <c r="C66" s="8" cm="1">
        <f t="array" aca="1" ref="C66" ca="1">INDEX(tRealM[Año],RANDBETWEEN(1,ROWS(tRealM[Apellido2])))</f>
        <v>2010</v>
      </c>
      <c r="D66" s="8" t="str" cm="1">
        <f t="array" aca="1" ref="D66" ca="1">INDEX(tRealM[clubFórmula],RANDBETWEEN(1,ROWS(tRealM[Apellido2])))</f>
        <v>Club Natación SOS Bétera</v>
      </c>
      <c r="E66" s="9">
        <f>tRealM[[#This Row],[Tiempo1]]</f>
        <v>9.7650462962962967E-2</v>
      </c>
      <c r="F66" s="9" t="str">
        <f>_xlfn.LET(
    _xlpm.k, tRealM[[#This Row],[Tiempo2]],
    IF(_xlpm.k="", "", _xlpm.k)
  )</f>
        <v/>
      </c>
      <c r="G66" s="10" t="str">
        <f>_xlfn.LET(
    _xlpm.k, tRealM[[#This Row],[Puntos]],
    IF(_xlpm.k="", "", _xlpm.k)
  )</f>
        <v/>
      </c>
      <c r="H66" s="10" t="str" cm="1">
        <f t="array" aca="1" ref="H6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7" spans="1:8" x14ac:dyDescent="0.2">
      <c r="A67" s="8">
        <v>64</v>
      </c>
      <c r="B67" s="8" t="str" cm="1">
        <f t="array" aca="1" ref="B6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ACOSTA MOLLINEDO, MATEO</v>
      </c>
      <c r="C67" s="8" cm="1">
        <f t="array" aca="1" ref="C67" ca="1">INDEX(tRealM[Año],RANDBETWEEN(1,ROWS(tRealM[Apellido2])))</f>
        <v>2004</v>
      </c>
      <c r="D67" s="8" t="str" cm="1">
        <f t="array" aca="1" ref="D67" ca="1">INDEX(tRealM[clubFórmula],RANDBETWEEN(1,ROWS(tRealM[Apellido2])))</f>
        <v>Alcarreño de Salvamento y Socorrismo</v>
      </c>
      <c r="E67" s="9">
        <f>tRealM[[#This Row],[Tiempo1]]</f>
        <v>9.7696759259259261E-2</v>
      </c>
      <c r="F67" s="9" t="str">
        <f>_xlfn.LET(
    _xlpm.k, tRealM[[#This Row],[Tiempo2]],
    IF(_xlpm.k="", "", _xlpm.k)
  )</f>
        <v/>
      </c>
      <c r="G67" s="10" t="str">
        <f>_xlfn.LET(
    _xlpm.k, tRealM[[#This Row],[Puntos]],
    IF(_xlpm.k="", "", _xlpm.k)
  )</f>
        <v/>
      </c>
      <c r="H67" s="10" t="str" cm="1">
        <f t="array" aca="1" ref="H6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8" spans="1:8" x14ac:dyDescent="0.2">
      <c r="A68" s="8">
        <v>65</v>
      </c>
      <c r="B68" s="8" t="str" cm="1">
        <f t="array" aca="1" ref="B6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CARBONELL FRESNEDA, LAS</v>
      </c>
      <c r="C68" s="8" cm="1">
        <f t="array" aca="1" ref="C68" ca="1">INDEX(tRealM[Año],RANDBETWEEN(1,ROWS(tRealM[Apellido2])))</f>
        <v>2005</v>
      </c>
      <c r="D68" s="8" t="str" cm="1">
        <f t="array" aca="1" ref="D68" ca="1">INDEX(tRealM[clubFórmula],RANDBETWEEN(1,ROWS(tRealM[Apellido2])))</f>
        <v>Club Natació Banyoles</v>
      </c>
      <c r="E68" s="9">
        <f>tRealM[[#This Row],[Tiempo1]]</f>
        <v>9.8125000000000004E-2</v>
      </c>
      <c r="F68" s="9" t="str">
        <f>_xlfn.LET(
    _xlpm.k, tRealM[[#This Row],[Tiempo2]],
    IF(_xlpm.k="", "", _xlpm.k)
  )</f>
        <v/>
      </c>
      <c r="G68" s="10" t="str">
        <f>_xlfn.LET(
    _xlpm.k, tRealM[[#This Row],[Puntos]],
    IF(_xlpm.k="", "", _xlpm.k)
  )</f>
        <v/>
      </c>
      <c r="H68" s="10" t="str" cm="1">
        <f t="array" aca="1" ref="H6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69" spans="1:8" x14ac:dyDescent="0.2">
      <c r="A69" s="8">
        <v>66</v>
      </c>
      <c r="B69" s="8" t="str" cm="1">
        <f t="array" aca="1" ref="B6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MARTINEZ ESTEBAN, ADRIÁN</v>
      </c>
      <c r="C69" s="8" cm="1">
        <f t="array" aca="1" ref="C69" ca="1">INDEX(tRealM[Año],RANDBETWEEN(1,ROWS(tRealM[Apellido2])))</f>
        <v>2010</v>
      </c>
      <c r="D69" s="8" t="str" cm="1">
        <f t="array" aca="1" ref="D69" ca="1">INDEX(tRealM[clubFórmula],RANDBETWEEN(1,ROWS(tRealM[Apellido2])))</f>
        <v>Club Playas de Castro Urdiales</v>
      </c>
      <c r="E69" s="9">
        <f>tRealM[[#This Row],[Tiempo1]]</f>
        <v>9.8298611111111114E-2</v>
      </c>
      <c r="F69" s="9" t="str">
        <f>_xlfn.LET(
    _xlpm.k, tRealM[[#This Row],[Tiempo2]],
    IF(_xlpm.k="", "", _xlpm.k)
  )</f>
        <v/>
      </c>
      <c r="G69" s="10" t="str">
        <f>_xlfn.LET(
    _xlpm.k, tRealM[[#This Row],[Puntos]],
    IF(_xlpm.k="", "", _xlpm.k)
  )</f>
        <v/>
      </c>
      <c r="H69" s="10" t="str" cm="1">
        <f t="array" aca="1" ref="H6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0" spans="1:8" x14ac:dyDescent="0.2">
      <c r="A70" s="8">
        <v>67</v>
      </c>
      <c r="B70" s="8" t="str" cm="1">
        <f t="array" aca="1" ref="B7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MIGUEL LLAMAS, MATEO</v>
      </c>
      <c r="C70" s="8" cm="1">
        <f t="array" aca="1" ref="C70" ca="1">INDEX(tRealM[Año],RANDBETWEEN(1,ROWS(tRealM[Apellido2])))</f>
        <v>2006</v>
      </c>
      <c r="D70" s="8" t="str" cm="1">
        <f t="array" aca="1" ref="D70" ca="1">INDEX(tRealM[clubFórmula],RANDBETWEEN(1,ROWS(tRealM[Apellido2])))</f>
        <v>Club Salvamento Vilagarcía</v>
      </c>
      <c r="E70" s="9">
        <f>tRealM[[#This Row],[Tiempo1]]</f>
        <v>9.7928240740740746E-2</v>
      </c>
      <c r="F70" s="9" t="str">
        <f>_xlfn.LET(
    _xlpm.k, tRealM[[#This Row],[Tiempo2]],
    IF(_xlpm.k="", "", _xlpm.k)
  )</f>
        <v/>
      </c>
      <c r="G70" s="10" t="str">
        <f>_xlfn.LET(
    _xlpm.k, tRealM[[#This Row],[Puntos]],
    IF(_xlpm.k="", "", _xlpm.k)
  )</f>
        <v/>
      </c>
      <c r="H70" s="10" t="str" cm="1">
        <f t="array" aca="1" ref="H7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1" spans="1:8" x14ac:dyDescent="0.2">
      <c r="A71" s="8">
        <v>68</v>
      </c>
      <c r="B71" s="8" t="str" cm="1">
        <f t="array" aca="1" ref="B7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CALVO CASTRO, HUGO</v>
      </c>
      <c r="C71" s="8" cm="1">
        <f t="array" aca="1" ref="C71" ca="1">INDEX(tRealM[Año],RANDBETWEEN(1,ROWS(tRealM[Apellido2])))</f>
        <v>2010</v>
      </c>
      <c r="D71" s="8" t="str" cm="1">
        <f t="array" aca="1" ref="D71" ca="1">INDEX(tRealM[clubFórmula],RANDBETWEEN(1,ROWS(tRealM[Apellido2])))</f>
        <v>C l u b Natación y Salvamento A Estrada</v>
      </c>
      <c r="E71" s="9">
        <f>tRealM[[#This Row],[Tiempo1]]</f>
        <v>9.7951388888888893E-2</v>
      </c>
      <c r="F71" s="9" t="str">
        <f>_xlfn.LET(
    _xlpm.k, tRealM[[#This Row],[Tiempo2]],
    IF(_xlpm.k="", "", _xlpm.k)
  )</f>
        <v/>
      </c>
      <c r="G71" s="10" t="str">
        <f>_xlfn.LET(
    _xlpm.k, tRealM[[#This Row],[Puntos]],
    IF(_xlpm.k="", "", _xlpm.k)
  )</f>
        <v/>
      </c>
      <c r="H71" s="10" t="str" cm="1">
        <f t="array" aca="1" ref="H7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2" spans="1:8" x14ac:dyDescent="0.2">
      <c r="A72" s="8">
        <v>69</v>
      </c>
      <c r="B72" s="8" t="str" cm="1">
        <f t="array" aca="1" ref="B7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GIL FERREIRA, SERGIO</v>
      </c>
      <c r="C72" s="8" cm="1">
        <f t="array" aca="1" ref="C72" ca="1">INDEX(tRealM[Año],RANDBETWEEN(1,ROWS(tRealM[Apellido2])))</f>
        <v>2004</v>
      </c>
      <c r="D72" s="8" t="str" cm="1">
        <f t="array" aca="1" ref="D72" ca="1">INDEX(tRealM[clubFórmula],RANDBETWEEN(1,ROWS(tRealM[Apellido2])))</f>
        <v>Club Salvamento y Natación Silla</v>
      </c>
      <c r="E72" s="9">
        <f>tRealM[[#This Row],[Tiempo1]]</f>
        <v>9.7997685185185188E-2</v>
      </c>
      <c r="F72" s="9" t="str">
        <f>_xlfn.LET(
    _xlpm.k, tRealM[[#This Row],[Tiempo2]],
    IF(_xlpm.k="", "", _xlpm.k)
  )</f>
        <v/>
      </c>
      <c r="G72" s="10" t="str">
        <f>_xlfn.LET(
    _xlpm.k, tRealM[[#This Row],[Puntos]],
    IF(_xlpm.k="", "", _xlpm.k)
  )</f>
        <v/>
      </c>
      <c r="H72" s="10" t="str" cm="1">
        <f t="array" aca="1" ref="H7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3" spans="1:8" x14ac:dyDescent="0.2">
      <c r="A73" s="8">
        <v>70</v>
      </c>
      <c r="B73" s="8" t="str" cm="1">
        <f t="array" aca="1" ref="B7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JORGE MOLLINEDO, JORGE</v>
      </c>
      <c r="C73" s="8" cm="1">
        <f t="array" aca="1" ref="C73" ca="1">INDEX(tRealM[Año],RANDBETWEEN(1,ROWS(tRealM[Apellido2])))</f>
        <v>2010</v>
      </c>
      <c r="D73" s="8" t="str" cm="1">
        <f t="array" aca="1" ref="D73" ca="1">INDEX(tRealM[clubFórmula],RANDBETWEEN(1,ROWS(tRealM[Apellido2])))</f>
        <v>C.D.B. Vallecas S.O.S</v>
      </c>
      <c r="E73" s="9">
        <f>tRealM[[#This Row],[Tiempo1]]</f>
        <v>9.8645833333333335E-2</v>
      </c>
      <c r="F73" s="9" t="str">
        <f>_xlfn.LET(
    _xlpm.k, tRealM[[#This Row],[Tiempo2]],
    IF(_xlpm.k="", "", _xlpm.k)
  )</f>
        <v/>
      </c>
      <c r="G73" s="10" t="str">
        <f>_xlfn.LET(
    _xlpm.k, tRealM[[#This Row],[Puntos]],
    IF(_xlpm.k="", "", _xlpm.k)
  )</f>
        <v/>
      </c>
      <c r="H73" s="10" t="str" cm="1">
        <f t="array" aca="1" ref="H7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4" spans="1:8" x14ac:dyDescent="0.2">
      <c r="A74" s="8">
        <v>71</v>
      </c>
      <c r="B74" s="8" t="str" cm="1">
        <f t="array" aca="1" ref="B7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JORGE YANES, ADRIAN</v>
      </c>
      <c r="C74" s="8" cm="1">
        <f t="array" aca="1" ref="C74" ca="1">INDEX(tRealM[Año],RANDBETWEEN(1,ROWS(tRealM[Apellido2])))</f>
        <v>2008</v>
      </c>
      <c r="D74" s="8" t="str" cm="1">
        <f t="array" aca="1" ref="D74" ca="1">INDEX(tRealM[clubFórmula],RANDBETWEEN(1,ROWS(tRealM[Apellido2])))</f>
        <v>Club Salvamento Arteixo - SALVAR</v>
      </c>
      <c r="E74" s="9">
        <f>tRealM[[#This Row],[Tiempo1]]</f>
        <v>9.8842592592592593E-2</v>
      </c>
      <c r="F74" s="9" t="str">
        <f>_xlfn.LET(
    _xlpm.k, tRealM[[#This Row],[Tiempo2]],
    IF(_xlpm.k="", "", _xlpm.k)
  )</f>
        <v/>
      </c>
      <c r="G74" s="10" t="str">
        <f>_xlfn.LET(
    _xlpm.k, tRealM[[#This Row],[Puntos]],
    IF(_xlpm.k="", "", _xlpm.k)
  )</f>
        <v/>
      </c>
      <c r="H74" s="10" t="str" cm="1">
        <f t="array" aca="1" ref="H7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5" spans="1:8" x14ac:dyDescent="0.2">
      <c r="A75" s="8">
        <v>72</v>
      </c>
      <c r="B75" s="8" t="str" cm="1">
        <f t="array" aca="1" ref="B7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PRIETO TARACENA, DANIEL</v>
      </c>
      <c r="C75" s="8" cm="1">
        <f t="array" aca="1" ref="C75" ca="1">INDEX(tRealM[Año],RANDBETWEEN(1,ROWS(tRealM[Apellido2])))</f>
        <v>2008</v>
      </c>
      <c r="D75" s="8" t="str" cm="1">
        <f t="array" aca="1" ref="D75" ca="1">INDEX(tRealM[clubFórmula],RANDBETWEEN(1,ROWS(tRealM[Apellido2])))</f>
        <v>Club Playas de Castro Urdiales</v>
      </c>
      <c r="E75" s="9">
        <f>tRealM[[#This Row],[Tiempo1]]</f>
        <v>9.8819444444444446E-2</v>
      </c>
      <c r="F75" s="9" t="str">
        <f>_xlfn.LET(
    _xlpm.k, tRealM[[#This Row],[Tiempo2]],
    IF(_xlpm.k="", "", _xlpm.k)
  )</f>
        <v/>
      </c>
      <c r="G75" s="10" t="str">
        <f>_xlfn.LET(
    _xlpm.k, tRealM[[#This Row],[Puntos]],
    IF(_xlpm.k="", "", _xlpm.k)
  )</f>
        <v/>
      </c>
      <c r="H75" s="10" t="str" cm="1">
        <f t="array" aca="1" ref="H7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6" spans="1:8" x14ac:dyDescent="0.2">
      <c r="A76" s="8">
        <v>73</v>
      </c>
      <c r="B76" s="8" t="str" cm="1">
        <f t="array" aca="1" ref="B7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ACOSTA MARTINEZ, CARLOS</v>
      </c>
      <c r="C76" s="8" cm="1">
        <f t="array" aca="1" ref="C76" ca="1">INDEX(tRealM[Año],RANDBETWEEN(1,ROWS(tRealM[Apellido2])))</f>
        <v>2010</v>
      </c>
      <c r="D76" s="8" t="str" cm="1">
        <f t="array" aca="1" ref="D76" ca="1">INDEX(tRealM[clubFórmula],RANDBETWEEN(1,ROWS(tRealM[Apellido2])))</f>
        <v>Club Natación Guadalajara</v>
      </c>
      <c r="E76" s="9">
        <f>tRealM[[#This Row],[Tiempo1]]</f>
        <v>9.8819444444444446E-2</v>
      </c>
      <c r="F76" s="9" t="str">
        <f>_xlfn.LET(
    _xlpm.k, tRealM[[#This Row],[Tiempo2]],
    IF(_xlpm.k="", "", _xlpm.k)
  )</f>
        <v/>
      </c>
      <c r="G76" s="10" t="str">
        <f>_xlfn.LET(
    _xlpm.k, tRealM[[#This Row],[Puntos]],
    IF(_xlpm.k="", "", _xlpm.k)
  )</f>
        <v/>
      </c>
      <c r="H76" s="10" t="str" cm="1">
        <f t="array" aca="1" ref="H7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7" spans="1:8" x14ac:dyDescent="0.2">
      <c r="A77" s="8">
        <v>74</v>
      </c>
      <c r="B77" s="8" t="str" cm="1">
        <f t="array" aca="1" ref="B7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PAREJA SANCHEZ, PABLO</v>
      </c>
      <c r="C77" s="8" cm="1">
        <f t="array" aca="1" ref="C77" ca="1">INDEX(tRealM[Año],RANDBETWEEN(1,ROWS(tRealM[Apellido2])))</f>
        <v>2011</v>
      </c>
      <c r="D77" s="8" t="str" cm="1">
        <f t="array" aca="1" ref="D77" ca="1">INDEX(tRealM[clubFórmula],RANDBETWEEN(1,ROWS(tRealM[Apellido2])))</f>
        <v>Club Natació Reus Ploms</v>
      </c>
      <c r="E77" s="9">
        <f>tRealM[[#This Row],[Tiempo1]]</f>
        <v>9.8842592592592593E-2</v>
      </c>
      <c r="F77" s="9" t="str">
        <f>_xlfn.LET(
    _xlpm.k, tRealM[[#This Row],[Tiempo2]],
    IF(_xlpm.k="", "", _xlpm.k)
  )</f>
        <v/>
      </c>
      <c r="G77" s="10" t="str">
        <f>_xlfn.LET(
    _xlpm.k, tRealM[[#This Row],[Puntos]],
    IF(_xlpm.k="", "", _xlpm.k)
  )</f>
        <v/>
      </c>
      <c r="H77" s="10" t="str" cm="1">
        <f t="array" aca="1" ref="H7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8" spans="1:8" x14ac:dyDescent="0.2">
      <c r="A78" s="8">
        <v>75</v>
      </c>
      <c r="B78" s="8" t="str" cm="1">
        <f t="array" aca="1" ref="B7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LAVANDEIRA VICENTI, MIGUEL</v>
      </c>
      <c r="C78" s="8" cm="1">
        <f t="array" aca="1" ref="C78" ca="1">INDEX(tRealM[Año],RANDBETWEEN(1,ROWS(tRealM[Apellido2])))</f>
        <v>2008</v>
      </c>
      <c r="D78" s="8" t="str" cm="1">
        <f t="array" aca="1" ref="D78" ca="1">INDEX(tRealM[clubFórmula],RANDBETWEEN(1,ROWS(tRealM[Apellido2])))</f>
        <v>Club Natación Guadalajara</v>
      </c>
      <c r="E78" s="9">
        <f>tRealM[[#This Row],[Tiempo1]]</f>
        <v>9.9097222222222225E-2</v>
      </c>
      <c r="F78" s="9" t="str">
        <f>_xlfn.LET(
    _xlpm.k, tRealM[[#This Row],[Tiempo2]],
    IF(_xlpm.k="", "", _xlpm.k)
  )</f>
        <v/>
      </c>
      <c r="G78" s="10" t="str">
        <f>_xlfn.LET(
    _xlpm.k, tRealM[[#This Row],[Puntos]],
    IF(_xlpm.k="", "", _xlpm.k)
  )</f>
        <v/>
      </c>
      <c r="H78" s="10" t="str" cm="1">
        <f t="array" aca="1" ref="H7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79" spans="1:8" x14ac:dyDescent="0.2">
      <c r="A79" s="8">
        <v>76</v>
      </c>
      <c r="B79" s="8" t="str" cm="1">
        <f t="array" aca="1" ref="B7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ZORNOZA COMPANY, FABIAN</v>
      </c>
      <c r="C79" s="8" cm="1">
        <f t="array" aca="1" ref="C79" ca="1">INDEX(tRealM[Año],RANDBETWEEN(1,ROWS(tRealM[Apellido2])))</f>
        <v>2010</v>
      </c>
      <c r="D79" s="8" t="str" cm="1">
        <f t="array" aca="1" ref="D79" ca="1">INDEX(tRealM[clubFórmula],RANDBETWEEN(1,ROWS(tRealM[Apellido2])))</f>
        <v>Real Club Náutico de Tenerife</v>
      </c>
      <c r="E79" s="9">
        <f>tRealM[[#This Row],[Tiempo1]]</f>
        <v>9.9537037037037035E-2</v>
      </c>
      <c r="F79" s="9" t="str">
        <f>_xlfn.LET(
    _xlpm.k, tRealM[[#This Row],[Tiempo2]],
    IF(_xlpm.k="", "", _xlpm.k)
  )</f>
        <v/>
      </c>
      <c r="G79" s="10" t="str">
        <f>_xlfn.LET(
    _xlpm.k, tRealM[[#This Row],[Puntos]],
    IF(_xlpm.k="", "", _xlpm.k)
  )</f>
        <v/>
      </c>
      <c r="H79" s="10" t="str" cm="1">
        <f t="array" aca="1" ref="H7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0" spans="1:8" x14ac:dyDescent="0.2">
      <c r="A80" s="8">
        <v>77</v>
      </c>
      <c r="B80" s="8" t="str" cm="1">
        <f t="array" aca="1" ref="B8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VICENTE POLO, VICTOR</v>
      </c>
      <c r="C80" s="8" cm="1">
        <f t="array" aca="1" ref="C80" ca="1">INDEX(tRealM[Año],RANDBETWEEN(1,ROWS(tRealM[Apellido2])))</f>
        <v>2010</v>
      </c>
      <c r="D80" s="8" t="str" cm="1">
        <f t="array" aca="1" ref="D80" ca="1">INDEX(tRealM[clubFórmula],RANDBETWEEN(1,ROWS(tRealM[Apellido2])))</f>
        <v>Club Playas de Castro Urdiales</v>
      </c>
      <c r="E80" s="9">
        <f>tRealM[[#This Row],[Tiempo1]]</f>
        <v>9.9583333333333329E-2</v>
      </c>
      <c r="F80" s="9" t="str">
        <f>_xlfn.LET(
    _xlpm.k, tRealM[[#This Row],[Tiempo2]],
    IF(_xlpm.k="", "", _xlpm.k)
  )</f>
        <v/>
      </c>
      <c r="G80" s="10" t="str">
        <f>_xlfn.LET(
    _xlpm.k, tRealM[[#This Row],[Puntos]],
    IF(_xlpm.k="", "", _xlpm.k)
  )</f>
        <v/>
      </c>
      <c r="H80" s="10" t="str" cm="1">
        <f t="array" aca="1" ref="H8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1" spans="1:8" x14ac:dyDescent="0.2">
      <c r="A81" s="8">
        <v>78</v>
      </c>
      <c r="B81" s="8" t="str" cm="1">
        <f t="array" aca="1" ref="B8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CARBALLEDA GONZALEZ, RODRIGO</v>
      </c>
      <c r="C81" s="8" cm="1">
        <f t="array" aca="1" ref="C81" ca="1">INDEX(tRealM[Año],RANDBETWEEN(1,ROWS(tRealM[Apellido2])))</f>
        <v>2010</v>
      </c>
      <c r="D81" s="8" t="str" cm="1">
        <f t="array" aca="1" ref="D81" ca="1">INDEX(tRealM[clubFórmula],RANDBETWEEN(1,ROWS(tRealM[Apellido2])))</f>
        <v>Club de Salvamento SVAT - Tarancón</v>
      </c>
      <c r="E81" s="9">
        <f>tRealM[[#This Row],[Tiempo1]]</f>
        <v>9.9363425925925924E-2</v>
      </c>
      <c r="F81" s="9" t="str">
        <f>_xlfn.LET(
    _xlpm.k, tRealM[[#This Row],[Tiempo2]],
    IF(_xlpm.k="", "", _xlpm.k)
  )</f>
        <v/>
      </c>
      <c r="G81" s="10" t="str">
        <f>_xlfn.LET(
    _xlpm.k, tRealM[[#This Row],[Puntos]],
    IF(_xlpm.k="", "", _xlpm.k)
  )</f>
        <v/>
      </c>
      <c r="H81" s="10" t="str" cm="1">
        <f t="array" aca="1" ref="H8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2" spans="1:8" x14ac:dyDescent="0.2">
      <c r="A82" s="8">
        <v>79</v>
      </c>
      <c r="B82" s="8" t="str" cm="1">
        <f t="array" aca="1" ref="B8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VERDEJO LORCA, DIEGO</v>
      </c>
      <c r="C82" s="8" cm="1">
        <f t="array" aca="1" ref="C82" ca="1">INDEX(tRealM[Año],RANDBETWEEN(1,ROWS(tRealM[Apellido2])))</f>
        <v>2008</v>
      </c>
      <c r="D82" s="8" t="str" cm="1">
        <f t="array" aca="1" ref="D82" ca="1">INDEX(tRealM[clubFórmula],RANDBETWEEN(1,ROWS(tRealM[Apellido2])))</f>
        <v>C l u b Natación y Salvamento A Estrada</v>
      </c>
      <c r="E82" s="9">
        <f>tRealM[[#This Row],[Tiempo1]]</f>
        <v>9.9409722222222219E-2</v>
      </c>
      <c r="F82" s="9" t="str">
        <f>_xlfn.LET(
    _xlpm.k, tRealM[[#This Row],[Tiempo2]],
    IF(_xlpm.k="", "", _xlpm.k)
  )</f>
        <v/>
      </c>
      <c r="G82" s="10" t="str">
        <f>_xlfn.LET(
    _xlpm.k, tRealM[[#This Row],[Puntos]],
    IF(_xlpm.k="", "", _xlpm.k)
  )</f>
        <v/>
      </c>
      <c r="H82" s="10" t="str" cm="1">
        <f t="array" aca="1" ref="H8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3" spans="1:8" x14ac:dyDescent="0.2">
      <c r="A83" s="8">
        <v>80</v>
      </c>
      <c r="B83" s="8" t="str" cm="1">
        <f t="array" aca="1" ref="B8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CORONADO PARDO, GUILLERMO</v>
      </c>
      <c r="C83" s="8" cm="1">
        <f t="array" aca="1" ref="C83" ca="1">INDEX(tRealM[Año],RANDBETWEEN(1,ROWS(tRealM[Apellido2])))</f>
        <v>2011</v>
      </c>
      <c r="D83" s="8" t="str" cm="1">
        <f t="array" aca="1" ref="D83" ca="1">INDEX(tRealM[clubFórmula],RANDBETWEEN(1,ROWS(tRealM[Apellido2])))</f>
        <v>Club Acuático Umia</v>
      </c>
      <c r="E83" s="9">
        <f>tRealM[[#This Row],[Tiempo1]]</f>
        <v>9.9699074074074079E-2</v>
      </c>
      <c r="F83" s="9" t="str">
        <f>_xlfn.LET(
    _xlpm.k, tRealM[[#This Row],[Tiempo2]],
    IF(_xlpm.k="", "", _xlpm.k)
  )</f>
        <v/>
      </c>
      <c r="G83" s="10" t="str">
        <f>_xlfn.LET(
    _xlpm.k, tRealM[[#This Row],[Puntos]],
    IF(_xlpm.k="", "", _xlpm.k)
  )</f>
        <v/>
      </c>
      <c r="H83" s="10" t="str" cm="1">
        <f t="array" aca="1" ref="H8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4" spans="1:8" x14ac:dyDescent="0.2">
      <c r="A84" s="8">
        <v>81</v>
      </c>
      <c r="B84" s="8" t="str" cm="1">
        <f t="array" aca="1" ref="B8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JUAN VIGO, CARLOS</v>
      </c>
      <c r="C84" s="8" cm="1">
        <f t="array" aca="1" ref="C84" ca="1">INDEX(tRealM[Año],RANDBETWEEN(1,ROWS(tRealM[Apellido2])))</f>
        <v>2008</v>
      </c>
      <c r="D84" s="8" t="str" cm="1">
        <f t="array" aca="1" ref="D84" ca="1">INDEX(tRealM[clubFórmula],RANDBETWEEN(1,ROWS(tRealM[Apellido2])))</f>
        <v>Club Leucante</v>
      </c>
      <c r="E84" s="9">
        <f>tRealM[[#This Row],[Tiempo1]]</f>
        <v>9.993055555555555E-2</v>
      </c>
      <c r="F84" s="9" t="str">
        <f>_xlfn.LET(
    _xlpm.k, tRealM[[#This Row],[Tiempo2]],
    IF(_xlpm.k="", "", _xlpm.k)
  )</f>
        <v/>
      </c>
      <c r="G84" s="10" t="str">
        <f>_xlfn.LET(
    _xlpm.k, tRealM[[#This Row],[Puntos]],
    IF(_xlpm.k="", "", _xlpm.k)
  )</f>
        <v/>
      </c>
      <c r="H84" s="10" t="str" cm="1">
        <f t="array" aca="1" ref="H8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5" spans="1:8" x14ac:dyDescent="0.2">
      <c r="A85" s="8">
        <v>82</v>
      </c>
      <c r="B85" s="8" t="str" cm="1">
        <f t="array" aca="1" ref="B8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SAN FERMIN FIGUEIRAS, MARCOS</v>
      </c>
      <c r="C85" s="8" cm="1">
        <f t="array" aca="1" ref="C85" ca="1">INDEX(tRealM[Año],RANDBETWEEN(1,ROWS(tRealM[Apellido2])))</f>
        <v>2002</v>
      </c>
      <c r="D85" s="8" t="str" cm="1">
        <f t="array" aca="1" ref="D85" ca="1">INDEX(tRealM[clubFórmula],RANDBETWEEN(1,ROWS(tRealM[Apellido2])))</f>
        <v>Club Salvamento y Natación Silla</v>
      </c>
      <c r="E85" s="9">
        <f>tRealM[[#This Row],[Tiempo1]]</f>
        <v>0.10018518518518518</v>
      </c>
      <c r="F85" s="9" t="str">
        <f>_xlfn.LET(
    _xlpm.k, tRealM[[#This Row],[Tiempo2]],
    IF(_xlpm.k="", "", _xlpm.k)
  )</f>
        <v/>
      </c>
      <c r="G85" s="10" t="str">
        <f>_xlfn.LET(
    _xlpm.k, tRealM[[#This Row],[Puntos]],
    IF(_xlpm.k="", "", _xlpm.k)
  )</f>
        <v/>
      </c>
      <c r="H85" s="10" t="str" cm="1">
        <f t="array" aca="1" ref="H8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6" spans="1:8" x14ac:dyDescent="0.2">
      <c r="A86" s="8">
        <v>83</v>
      </c>
      <c r="B86" s="8" t="str" cm="1">
        <f t="array" aca="1" ref="B8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CORONADO LOPEZ, ALEJANDRO</v>
      </c>
      <c r="C86" s="8" cm="1">
        <f t="array" aca="1" ref="C86" ca="1">INDEX(tRealM[Año],RANDBETWEEN(1,ROWS(tRealM[Apellido2])))</f>
        <v>2005</v>
      </c>
      <c r="D86" s="8" t="str" cm="1">
        <f t="array" aca="1" ref="D86" ca="1">INDEX(tRealM[clubFórmula],RANDBETWEEN(1,ROWS(tRealM[Apellido2])))</f>
        <v>Club Salvamento Vilagarcía</v>
      </c>
      <c r="E86" s="9">
        <f>tRealM[[#This Row],[Tiempo1]]</f>
        <v>0.10028935185185185</v>
      </c>
      <c r="F86" s="9" t="str">
        <f>_xlfn.LET(
    _xlpm.k, tRealM[[#This Row],[Tiempo2]],
    IF(_xlpm.k="", "", _xlpm.k)
  )</f>
        <v/>
      </c>
      <c r="G86" s="10" t="str">
        <f>_xlfn.LET(
    _xlpm.k, tRealM[[#This Row],[Puntos]],
    IF(_xlpm.k="", "", _xlpm.k)
  )</f>
        <v/>
      </c>
      <c r="H86" s="10" t="str" cm="1">
        <f t="array" aca="1" ref="H8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7" spans="1:8" x14ac:dyDescent="0.2">
      <c r="A87" s="8">
        <v>84</v>
      </c>
      <c r="B87" s="8" t="str" cm="1">
        <f t="array" aca="1" ref="B8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CEDRÉS SANCHEZ, OSCAR</v>
      </c>
      <c r="C87" s="8" cm="1">
        <f t="array" aca="1" ref="C87" ca="1">INDEX(tRealM[Año],RANDBETWEEN(1,ROWS(tRealM[Apellido2])))</f>
        <v>2010</v>
      </c>
      <c r="D87" s="8" t="str" cm="1">
        <f t="array" aca="1" ref="D87" ca="1">INDEX(tRealM[clubFórmula],RANDBETWEEN(1,ROWS(tRealM[Apellido2])))</f>
        <v>Club Salvamento y Natación Silla</v>
      </c>
      <c r="E87" s="9">
        <f>tRealM[[#This Row],[Tiempo1]]</f>
        <v>0.10011574074074074</v>
      </c>
      <c r="F87" s="9" t="str">
        <f>_xlfn.LET(
    _xlpm.k, tRealM[[#This Row],[Tiempo2]],
    IF(_xlpm.k="", "", _xlpm.k)
  )</f>
        <v/>
      </c>
      <c r="G87" s="10" t="str">
        <f>_xlfn.LET(
    _xlpm.k, tRealM[[#This Row],[Puntos]],
    IF(_xlpm.k="", "", _xlpm.k)
  )</f>
        <v/>
      </c>
      <c r="H87" s="10" t="str" cm="1">
        <f t="array" aca="1" ref="H8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8" spans="1:8" x14ac:dyDescent="0.2">
      <c r="A88" s="8">
        <v>85</v>
      </c>
      <c r="B88" s="8" t="str" cm="1">
        <f t="array" aca="1" ref="B8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GARCIA GUIMIL, MIGUEL</v>
      </c>
      <c r="C88" s="8" cm="1">
        <f t="array" aca="1" ref="C88" ca="1">INDEX(tRealM[Año],RANDBETWEEN(1,ROWS(tRealM[Apellido2])))</f>
        <v>2003</v>
      </c>
      <c r="D88" s="8" t="str" cm="1">
        <f t="array" aca="1" ref="D88" ca="1">INDEX(tRealM[clubFórmula],RANDBETWEEN(1,ROWS(tRealM[Apellido2])))</f>
        <v>Club Salvamento Vilagarcía</v>
      </c>
      <c r="E88" s="9">
        <f>tRealM[[#This Row],[Tiempo1]]</f>
        <v>0.10013888888888889</v>
      </c>
      <c r="F88" s="9" t="str">
        <f>_xlfn.LET(
    _xlpm.k, tRealM[[#This Row],[Tiempo2]],
    IF(_xlpm.k="", "", _xlpm.k)
  )</f>
        <v/>
      </c>
      <c r="G88" s="10" t="str">
        <f>_xlfn.LET(
    _xlpm.k, tRealM[[#This Row],[Puntos]],
    IF(_xlpm.k="", "", _xlpm.k)
  )</f>
        <v/>
      </c>
      <c r="H88" s="10" t="str" cm="1">
        <f t="array" aca="1" ref="H8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89" spans="1:8" x14ac:dyDescent="0.2">
      <c r="A89" s="8">
        <v>86</v>
      </c>
      <c r="B89" s="8" t="str" cm="1">
        <f t="array" aca="1" ref="B8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CABERO FERNÁNDEZ, JAVIER</v>
      </c>
      <c r="C89" s="8" cm="1">
        <f t="array" aca="1" ref="C89" ca="1">INDEX(tRealM[Año],RANDBETWEEN(1,ROWS(tRealM[Apellido2])))</f>
        <v>2003</v>
      </c>
      <c r="D89" s="8" t="str" cm="1">
        <f t="array" aca="1" ref="D89" ca="1">INDEX(tRealM[clubFórmula],RANDBETWEEN(1,ROWS(tRealM[Apellido2])))</f>
        <v>Club Deportivo Natación Aldaia</v>
      </c>
      <c r="E89" s="9">
        <f>tRealM[[#This Row],[Tiempo1]]</f>
        <v>0.10019675925925926</v>
      </c>
      <c r="F89" s="9" t="str">
        <f>_xlfn.LET(
    _xlpm.k, tRealM[[#This Row],[Tiempo2]],
    IF(_xlpm.k="", "", _xlpm.k)
  )</f>
        <v/>
      </c>
      <c r="G89" s="10" t="str">
        <f>_xlfn.LET(
    _xlpm.k, tRealM[[#This Row],[Puntos]],
    IF(_xlpm.k="", "", _xlpm.k)
  )</f>
        <v/>
      </c>
      <c r="H89" s="10" t="str" cm="1">
        <f t="array" aca="1" ref="H8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0" spans="1:8" x14ac:dyDescent="0.2">
      <c r="A90" s="8">
        <v>87</v>
      </c>
      <c r="B90" s="8" t="str" cm="1">
        <f t="array" aca="1" ref="B9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CARBALLEDA MORALEDA, SERGIO</v>
      </c>
      <c r="C90" s="8" cm="1">
        <f t="array" aca="1" ref="C90" ca="1">INDEX(tRealM[Año],RANDBETWEEN(1,ROWS(tRealM[Apellido2])))</f>
        <v>2001</v>
      </c>
      <c r="D90" s="8" t="str" cm="1">
        <f t="array" aca="1" ref="D90" ca="1">INDEX(tRealM[clubFórmula],RANDBETWEEN(1,ROWS(tRealM[Apellido2])))</f>
        <v>Club Deportivo Sirenas de Catarroja</v>
      </c>
      <c r="E90" s="9">
        <f>tRealM[[#This Row],[Tiempo1]]</f>
        <v>0.10056712962962963</v>
      </c>
      <c r="F90" s="9" t="str">
        <f>_xlfn.LET(
    _xlpm.k, tRealM[[#This Row],[Tiempo2]],
    IF(_xlpm.k="", "", _xlpm.k)
  )</f>
        <v/>
      </c>
      <c r="G90" s="10" t="str">
        <f>_xlfn.LET(
    _xlpm.k, tRealM[[#This Row],[Puntos]],
    IF(_xlpm.k="", "", _xlpm.k)
  )</f>
        <v/>
      </c>
      <c r="H90" s="10" t="str" cm="1">
        <f t="array" aca="1" ref="H9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1" spans="1:8" x14ac:dyDescent="0.2">
      <c r="A91" s="8">
        <v>88</v>
      </c>
      <c r="B91" s="8" t="str" cm="1">
        <f t="array" aca="1" ref="B9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CAMPOS GUZMAN, VICTOR</v>
      </c>
      <c r="C91" s="8" cm="1">
        <f t="array" aca="1" ref="C91" ca="1">INDEX(tRealM[Año],RANDBETWEEN(1,ROWS(tRealM[Apellido2])))</f>
        <v>2007</v>
      </c>
      <c r="D91" s="8" t="str" cm="1">
        <f t="array" aca="1" ref="D91" ca="1">INDEX(tRealM[clubFórmula],RANDBETWEEN(1,ROWS(tRealM[Apellido2])))</f>
        <v>Sos Pielagos Playas de Cantabria</v>
      </c>
      <c r="E91" s="9">
        <f>tRealM[[#This Row],[Tiempo1]]</f>
        <v>0.10060185185185185</v>
      </c>
      <c r="F91" s="9" t="str">
        <f>_xlfn.LET(
    _xlpm.k, tRealM[[#This Row],[Tiempo2]],
    IF(_xlpm.k="", "", _xlpm.k)
  )</f>
        <v/>
      </c>
      <c r="G91" s="10" t="str">
        <f>_xlfn.LET(
    _xlpm.k, tRealM[[#This Row],[Puntos]],
    IF(_xlpm.k="", "", _xlpm.k)
  )</f>
        <v/>
      </c>
      <c r="H91" s="10" t="str" cm="1">
        <f t="array" aca="1" ref="H9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2" spans="1:8" x14ac:dyDescent="0.2">
      <c r="A92" s="8">
        <v>89</v>
      </c>
      <c r="B92" s="8" t="str" cm="1">
        <f t="array" aca="1" ref="B9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AGUADO SEMESHKO, MIGUEL</v>
      </c>
      <c r="C92" s="8" cm="1">
        <f t="array" aca="1" ref="C92" ca="1">INDEX(tRealM[Año],RANDBETWEEN(1,ROWS(tRealM[Apellido2])))</f>
        <v>2006</v>
      </c>
      <c r="D92" s="8" t="str" cm="1">
        <f t="array" aca="1" ref="D92" ca="1">INDEX(tRealM[clubFórmula],RANDBETWEEN(1,ROWS(tRealM[Apellido2])))</f>
        <v>C lu b Salvamento Arteixo - SALVAR</v>
      </c>
      <c r="E92" s="9">
        <f>tRealM[[#This Row],[Tiempo1]]</f>
        <v>0.10061342592592593</v>
      </c>
      <c r="F92" s="9" t="str">
        <f>_xlfn.LET(
    _xlpm.k, tRealM[[#This Row],[Tiempo2]],
    IF(_xlpm.k="", "", _xlpm.k)
  )</f>
        <v/>
      </c>
      <c r="G92" s="10" t="str">
        <f>_xlfn.LET(
    _xlpm.k, tRealM[[#This Row],[Puntos]],
    IF(_xlpm.k="", "", _xlpm.k)
  )</f>
        <v/>
      </c>
      <c r="H92" s="10" t="str" cm="1">
        <f t="array" aca="1" ref="H9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3" spans="1:8" x14ac:dyDescent="0.2">
      <c r="A93" s="8">
        <v>90</v>
      </c>
      <c r="B93" s="8" t="str" cm="1">
        <f t="array" aca="1" ref="B9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NEGREIRA TEJEDA, EDUARDO</v>
      </c>
      <c r="C93" s="8" cm="1">
        <f t="array" aca="1" ref="C93" ca="1">INDEX(tRealM[Año],RANDBETWEEN(1,ROWS(tRealM[Apellido2])))</f>
        <v>2001</v>
      </c>
      <c r="D93" s="8" t="str" cm="1">
        <f t="array" aca="1" ref="D93" ca="1">INDEX(tRealM[clubFórmula],RANDBETWEEN(1,ROWS(tRealM[Apellido2])))</f>
        <v>Alcarreño de Salvamento y Socorrismo</v>
      </c>
      <c r="E93" s="9">
        <f>tRealM[[#This Row],[Tiempo1]]</f>
        <v>0.10070601851851851</v>
      </c>
      <c r="F93" s="9" t="str">
        <f>_xlfn.LET(
    _xlpm.k, tRealM[[#This Row],[Tiempo2]],
    IF(_xlpm.k="", "", _xlpm.k)
  )</f>
        <v/>
      </c>
      <c r="G93" s="8" t="str">
        <f>_xlfn.LET(
    _xlpm.k, tRealM[[#This Row],[Puntos]],
    IF(_xlpm.k="", "", _xlpm.k)
  )</f>
        <v/>
      </c>
      <c r="H93" s="8" t="str" cm="1">
        <f t="array" aca="1" ref="H9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4" spans="1:8" x14ac:dyDescent="0.2">
      <c r="A94" s="8">
        <v>91</v>
      </c>
      <c r="B94" s="8" t="str" cm="1">
        <f t="array" aca="1" ref="B9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CAVADA GONZALEZ, DAMIÁN</v>
      </c>
      <c r="C94" s="8" cm="1">
        <f t="array" aca="1" ref="C94" ca="1">INDEX(tRealM[Año],RANDBETWEEN(1,ROWS(tRealM[Apellido2])))</f>
        <v>2008</v>
      </c>
      <c r="D94" s="8" t="str" cm="1">
        <f t="array" aca="1" ref="D94" ca="1">INDEX(tRealM[clubFórmula],RANDBETWEEN(1,ROWS(tRealM[Apellido2])))</f>
        <v>Club Natación y Salvamento Oriol Imperial</v>
      </c>
      <c r="E94" s="9">
        <f>tRealM[[#This Row],[Tiempo1]]</f>
        <v>0.10140046296296296</v>
      </c>
      <c r="F94" s="9" t="str">
        <f>_xlfn.LET(
    _xlpm.k, tRealM[[#This Row],[Tiempo2]],
    IF(_xlpm.k="", "", _xlpm.k)
  )</f>
        <v/>
      </c>
      <c r="G94" s="8" t="str">
        <f>_xlfn.LET(
    _xlpm.k, tRealM[[#This Row],[Puntos]],
    IF(_xlpm.k="", "", _xlpm.k)
  )</f>
        <v/>
      </c>
      <c r="H94" s="8" t="str" cm="1">
        <f t="array" aca="1" ref="H9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5" spans="1:8" x14ac:dyDescent="0.2">
      <c r="A95" s="8">
        <v>92</v>
      </c>
      <c r="B95" s="8" t="str" cm="1">
        <f t="array" aca="1" ref="B9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PEREZ GALLEGUILLOS, YAGO</v>
      </c>
      <c r="C95" s="8" cm="1">
        <f t="array" aca="1" ref="C95" ca="1">INDEX(tRealM[Año],RANDBETWEEN(1,ROWS(tRealM[Apellido2])))</f>
        <v>2005</v>
      </c>
      <c r="D95" s="8" t="str" cm="1">
        <f t="array" aca="1" ref="D95" ca="1">INDEX(tRealM[clubFórmula],RANDBETWEEN(1,ROWS(tRealM[Apellido2])))</f>
        <v>Club Natació Reus Ploms</v>
      </c>
      <c r="E95" s="9">
        <f>tRealM[[#This Row],[Tiempo1]]</f>
        <v>0.10280092592592592</v>
      </c>
      <c r="F95" s="9" t="str">
        <f>_xlfn.LET(
    _xlpm.k, tRealM[[#This Row],[Tiempo2]],
    IF(_xlpm.k="", "", _xlpm.k)
  )</f>
        <v/>
      </c>
      <c r="G95" s="8" t="str">
        <f>_xlfn.LET(
    _xlpm.k, tRealM[[#This Row],[Puntos]],
    IF(_xlpm.k="", "", _xlpm.k)
  )</f>
        <v/>
      </c>
      <c r="H95" s="8" t="str" cm="1">
        <f t="array" aca="1" ref="H9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6" spans="1:8" x14ac:dyDescent="0.2">
      <c r="A96" s="8">
        <v>93</v>
      </c>
      <c r="B96" s="8" t="str" cm="1">
        <f t="array" aca="1" ref="B9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SAN FERMIN MESÍAS, ISMAEL</v>
      </c>
      <c r="C96" s="8" cm="1">
        <f t="array" aca="1" ref="C96" ca="1">INDEX(tRealM[Año],RANDBETWEEN(1,ROWS(tRealM[Apellido2])))</f>
        <v>2008</v>
      </c>
      <c r="D96" s="8" t="str" cm="1">
        <f t="array" aca="1" ref="D96" ca="1">INDEX(tRealM[clubFórmula],RANDBETWEEN(1,ROWS(tRealM[Apellido2])))</f>
        <v>Club Salvamento y Socorrismo Carballo - SYSCA</v>
      </c>
      <c r="E96" s="9">
        <f>tRealM[[#This Row],[Tiempo1]]</f>
        <v>0.10291666666666667</v>
      </c>
      <c r="F96" s="9" t="str">
        <f>_xlfn.LET(
    _xlpm.k, tRealM[[#This Row],[Tiempo2]],
    IF(_xlpm.k="", "", _xlpm.k)
  )</f>
        <v/>
      </c>
      <c r="G96" s="8" t="str">
        <f>_xlfn.LET(
    _xlpm.k, tRealM[[#This Row],[Puntos]],
    IF(_xlpm.k="", "", _xlpm.k)
  )</f>
        <v/>
      </c>
      <c r="H96" s="8" t="str" cm="1">
        <f t="array" aca="1" ref="H9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7" spans="1:8" x14ac:dyDescent="0.2">
      <c r="A97" s="8">
        <v>94</v>
      </c>
      <c r="B97" s="8" t="str" cm="1">
        <f t="array" aca="1" ref="B9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RAYNAUD MARTÍN, DIEGO</v>
      </c>
      <c r="C97" s="8" cm="1">
        <f t="array" aca="1" ref="C97" ca="1">INDEX(tRealM[Año],RANDBETWEEN(1,ROWS(tRealM[Apellido2])))</f>
        <v>2010</v>
      </c>
      <c r="D97" s="8" t="str" cm="1">
        <f t="array" aca="1" ref="D97" ca="1">INDEX(tRealM[clubFórmula],RANDBETWEEN(1,ROWS(tRealM[Apellido2])))</f>
        <v>Club Natación SOS Bétera</v>
      </c>
      <c r="E97" s="9">
        <f>tRealM[[#This Row],[Tiempo1]]</f>
        <v>0.10284722222222223</v>
      </c>
      <c r="F97" s="9" t="str">
        <f>_xlfn.LET(
    _xlpm.k, tRealM[[#This Row],[Tiempo2]],
    IF(_xlpm.k="", "", _xlpm.k)
  )</f>
        <v/>
      </c>
      <c r="G97" s="8" t="str">
        <f>_xlfn.LET(
    _xlpm.k, tRealM[[#This Row],[Puntos]],
    IF(_xlpm.k="", "", _xlpm.k)
  )</f>
        <v/>
      </c>
      <c r="H97" s="8" t="str" cm="1">
        <f t="array" aca="1" ref="H9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8" spans="1:8" x14ac:dyDescent="0.2">
      <c r="A98" s="8">
        <v>95</v>
      </c>
      <c r="B98" s="8" t="str" cm="1">
        <f t="array" aca="1" ref="B9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PAYÁ DÍAZ, ROBERTO</v>
      </c>
      <c r="C98" s="8" cm="1">
        <f t="array" aca="1" ref="C98" ca="1">INDEX(tRealM[Año],RANDBETWEEN(1,ROWS(tRealM[Apellido2])))</f>
        <v>2007</v>
      </c>
      <c r="D98" s="8" t="str" cm="1">
        <f t="array" aca="1" ref="D98" ca="1">INDEX(tRealM[clubFórmula],RANDBETWEEN(1,ROWS(tRealM[Apellido2])))</f>
        <v>PS Water Benidorm</v>
      </c>
      <c r="E98" s="9">
        <f>tRealM[[#This Row],[Tiempo1]]</f>
        <v>0.10284722222222223</v>
      </c>
      <c r="F98" s="9" t="str">
        <f>_xlfn.LET(
    _xlpm.k, tRealM[[#This Row],[Tiempo2]],
    IF(_xlpm.k="", "", _xlpm.k)
  )</f>
        <v/>
      </c>
      <c r="G98" s="8" t="str">
        <f>_xlfn.LET(
    _xlpm.k, tRealM[[#This Row],[Puntos]],
    IF(_xlpm.k="", "", _xlpm.k)
  )</f>
        <v/>
      </c>
      <c r="H98" s="8" t="str" cm="1">
        <f t="array" aca="1" ref="H9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99" spans="1:8" x14ac:dyDescent="0.2">
      <c r="A99" s="8">
        <v>96</v>
      </c>
      <c r="B99" s="8" t="str" cm="1">
        <f t="array" aca="1" ref="B9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MANZANO CANTARERO, JAVIER</v>
      </c>
      <c r="C99" s="8" cm="1">
        <f t="array" aca="1" ref="C99" ca="1">INDEX(tRealM[Año],RANDBETWEEN(1,ROWS(tRealM[Apellido2])))</f>
        <v>2008</v>
      </c>
      <c r="D99" s="8" t="str" cm="1">
        <f t="array" aca="1" ref="D99" ca="1">INDEX(tRealM[clubFórmula],RANDBETWEEN(1,ROWS(tRealM[Apellido2])))</f>
        <v>Sos Pielagos Playas de Cantabria</v>
      </c>
      <c r="E99" s="9">
        <f>tRealM[[#This Row],[Tiempo1]]</f>
        <v>0.10297453703703703</v>
      </c>
      <c r="F99" s="9" t="str">
        <f>_xlfn.LET(
    _xlpm.k, tRealM[[#This Row],[Tiempo2]],
    IF(_xlpm.k="", "", _xlpm.k)
  )</f>
        <v/>
      </c>
      <c r="G99" s="8" t="str">
        <f>_xlfn.LET(
    _xlpm.k, tRealM[[#This Row],[Puntos]],
    IF(_xlpm.k="", "", _xlpm.k)
  )</f>
        <v/>
      </c>
      <c r="H99" s="8" t="str" cm="1">
        <f t="array" aca="1" ref="H9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0" spans="1:8" x14ac:dyDescent="0.2">
      <c r="A100" s="8">
        <v>97</v>
      </c>
      <c r="B100" s="8" t="str" cm="1">
        <f t="array" aca="1" ref="B10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BALSA BUGALLO, ALVARO</v>
      </c>
      <c r="C100" s="8" cm="1">
        <f t="array" aca="1" ref="C100" ca="1">INDEX(tRealM[Año],RANDBETWEEN(1,ROWS(tRealM[Apellido2])))</f>
        <v>2007</v>
      </c>
      <c r="D100" s="8" t="str" cm="1">
        <f t="array" aca="1" ref="D100" ca="1">INDEX(tRealM[clubFórmula],RANDBETWEEN(1,ROWS(tRealM[Apellido2])))</f>
        <v>Club Natación SOS Bétera</v>
      </c>
      <c r="E100" s="9">
        <f>tRealM[[#This Row],[Tiempo1]]</f>
        <v>0.1034375</v>
      </c>
      <c r="F100" s="9" t="str">
        <f>_xlfn.LET(
    _xlpm.k, tRealM[[#This Row],[Tiempo2]],
    IF(_xlpm.k="", "", _xlpm.k)
  )</f>
        <v/>
      </c>
      <c r="G100" s="8" t="str">
        <f>_xlfn.LET(
    _xlpm.k, tRealM[[#This Row],[Puntos]],
    IF(_xlpm.k="", "", _xlpm.k)
  )</f>
        <v/>
      </c>
      <c r="H100" s="8" t="str" cm="1">
        <f t="array" aca="1" ref="H10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1" spans="1:8" x14ac:dyDescent="0.2">
      <c r="A101" s="8">
        <v>98</v>
      </c>
      <c r="B101" s="8" t="str" cm="1">
        <f t="array" aca="1" ref="B10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CAVADA LOPEZ, BLAI</v>
      </c>
      <c r="C101" s="8" cm="1">
        <f t="array" aca="1" ref="C101" ca="1">INDEX(tRealM[Año],RANDBETWEEN(1,ROWS(tRealM[Apellido2])))</f>
        <v>2009</v>
      </c>
      <c r="D101" s="8" t="str" cm="1">
        <f t="array" aca="1" ref="D101" ca="1">INDEX(tRealM[clubFórmula],RANDBETWEEN(1,ROWS(tRealM[Apellido2])))</f>
        <v>C. D. SOS La Bañeza</v>
      </c>
      <c r="E101" s="9">
        <f>tRealM[[#This Row],[Tiempo1]]</f>
        <v>0.10400462962962963</v>
      </c>
      <c r="F101" s="9" t="str">
        <f>_xlfn.LET(
    _xlpm.k, tRealM[[#This Row],[Tiempo2]],
    IF(_xlpm.k="", "", _xlpm.k)
  )</f>
        <v/>
      </c>
      <c r="G101" s="8" t="str">
        <f>_xlfn.LET(
    _xlpm.k, tRealM[[#This Row],[Puntos]],
    IF(_xlpm.k="", "", _xlpm.k)
  )</f>
        <v/>
      </c>
      <c r="H101" s="8" t="str" cm="1">
        <f t="array" aca="1" ref="H10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2" spans="1:8" x14ac:dyDescent="0.2">
      <c r="A102" s="8">
        <v>99</v>
      </c>
      <c r="B102" s="8" t="str" cm="1">
        <f t="array" aca="1" ref="B10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MARTINEZ TEMSSAMANI, VICTOR</v>
      </c>
      <c r="C102" s="8" cm="1">
        <f t="array" aca="1" ref="C102" ca="1">INDEX(tRealM[Año],RANDBETWEEN(1,ROWS(tRealM[Apellido2])))</f>
        <v>2009</v>
      </c>
      <c r="D102" s="8" t="str" cm="1">
        <f t="array" aca="1" ref="D102" ca="1">INDEX(tRealM[clubFórmula],RANDBETWEEN(1,ROWS(tRealM[Apellido2])))</f>
        <v>C l u b Natación y Salvamento A Estrada</v>
      </c>
      <c r="E102" s="9">
        <f>tRealM[[#This Row],[Tiempo1]]</f>
        <v>0.10421296296296297</v>
      </c>
      <c r="F102" s="9" t="str">
        <f>_xlfn.LET(
    _xlpm.k, tRealM[[#This Row],[Tiempo2]],
    IF(_xlpm.k="", "", _xlpm.k)
  )</f>
        <v/>
      </c>
      <c r="G102" s="8" t="str">
        <f>_xlfn.LET(
    _xlpm.k, tRealM[[#This Row],[Puntos]],
    IF(_xlpm.k="", "", _xlpm.k)
  )</f>
        <v/>
      </c>
      <c r="H102" s="8" t="str" cm="1">
        <f t="array" aca="1" ref="H10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3" spans="1:8" x14ac:dyDescent="0.2">
      <c r="A103" s="8">
        <v>100</v>
      </c>
      <c r="B103" s="8" t="str" cm="1">
        <f t="array" aca="1" ref="B10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MIGUEL FRAILE, PABLO</v>
      </c>
      <c r="C103" s="8" cm="1">
        <f t="array" aca="1" ref="C103" ca="1">INDEX(tRealM[Año],RANDBETWEEN(1,ROWS(tRealM[Apellido2])))</f>
        <v>2008</v>
      </c>
      <c r="D103" s="8" t="str" cm="1">
        <f t="array" aca="1" ref="D103" ca="1">INDEX(tRealM[clubFórmula],RANDBETWEEN(1,ROWS(tRealM[Apellido2])))</f>
        <v>Club Deportivo Sirenas de Catarroja</v>
      </c>
      <c r="E103" s="9">
        <f>tRealM[[#This Row],[Tiempo1]]</f>
        <v>0.10427083333333333</v>
      </c>
      <c r="F103" s="9" t="str">
        <f>_xlfn.LET(
    _xlpm.k, tRealM[[#This Row],[Tiempo2]],
    IF(_xlpm.k="", "", _xlpm.k)
  )</f>
        <v/>
      </c>
      <c r="G103" s="8" t="str">
        <f>_xlfn.LET(
    _xlpm.k, tRealM[[#This Row],[Puntos]],
    IF(_xlpm.k="", "", _xlpm.k)
  )</f>
        <v/>
      </c>
      <c r="H103" s="8" t="str" cm="1">
        <f t="array" aca="1" ref="H10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4" spans="1:8" x14ac:dyDescent="0.2">
      <c r="A104" s="8">
        <v>101</v>
      </c>
      <c r="B104" s="8" t="str" cm="1">
        <f t="array" aca="1" ref="B10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CEDRÉS MARTÍN, PEDRO</v>
      </c>
      <c r="C104" s="8" cm="1">
        <f t="array" aca="1" ref="C104" ca="1">INDEX(tRealM[Año],RANDBETWEEN(1,ROWS(tRealM[Apellido2])))</f>
        <v>2005</v>
      </c>
      <c r="D104" s="8" t="str" cm="1">
        <f t="array" aca="1" ref="D104" ca="1">INDEX(tRealM[clubFórmula],RANDBETWEEN(1,ROWS(tRealM[Apellido2])))</f>
        <v>Club Salvamento Vilagarcía</v>
      </c>
      <c r="E104" s="9">
        <f>tRealM[[#This Row],[Tiempo1]]</f>
        <v>0.10430555555555555</v>
      </c>
      <c r="F104" s="9" t="str">
        <f>_xlfn.LET(
    _xlpm.k, tRealM[[#This Row],[Tiempo2]],
    IF(_xlpm.k="", "", _xlpm.k)
  )</f>
        <v/>
      </c>
      <c r="G104" s="8" t="str">
        <f>_xlfn.LET(
    _xlpm.k, tRealM[[#This Row],[Puntos]],
    IF(_xlpm.k="", "", _xlpm.k)
  )</f>
        <v/>
      </c>
      <c r="H104" s="8" t="str" cm="1">
        <f t="array" aca="1" ref="H10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5" spans="1:8" x14ac:dyDescent="0.2">
      <c r="A105" s="8">
        <v>102</v>
      </c>
      <c r="B105" s="8" t="str" cm="1">
        <f t="array" aca="1" ref="B10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RUBENS BLANCO, MIGUEL</v>
      </c>
      <c r="C105" s="8" cm="1">
        <f t="array" aca="1" ref="C105" ca="1">INDEX(tRealM[Año],RANDBETWEEN(1,ROWS(tRealM[Apellido2])))</f>
        <v>2008</v>
      </c>
      <c r="D105" s="8" t="str" cm="1">
        <f t="array" aca="1" ref="D105" ca="1">INDEX(tRealM[clubFórmula],RANDBETWEEN(1,ROWS(tRealM[Apellido2])))</f>
        <v>Club Natación Red Mar Top Ten Alicante</v>
      </c>
      <c r="E105" s="9">
        <f>tRealM[[#This Row],[Tiempo1]]</f>
        <v>0.10434027777777778</v>
      </c>
      <c r="F105" s="9" t="str">
        <f>_xlfn.LET(
    _xlpm.k, tRealM[[#This Row],[Tiempo2]],
    IF(_xlpm.k="", "", _xlpm.k)
  )</f>
        <v/>
      </c>
      <c r="G105" s="8" t="str">
        <f>_xlfn.LET(
    _xlpm.k, tRealM[[#This Row],[Puntos]],
    IF(_xlpm.k="", "", _xlpm.k)
  )</f>
        <v/>
      </c>
      <c r="H105" s="8" t="str" cm="1">
        <f t="array" aca="1" ref="H10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6" spans="1:8" x14ac:dyDescent="0.2">
      <c r="A106" s="8">
        <v>103</v>
      </c>
      <c r="B106" s="8" t="str" cm="1">
        <f t="array" aca="1" ref="B10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MARTINEZ COMPANY, VICTOR</v>
      </c>
      <c r="C106" s="8" cm="1">
        <f t="array" aca="1" ref="C106" ca="1">INDEX(tRealM[Año],RANDBETWEEN(1,ROWS(tRealM[Apellido2])))</f>
        <v>2002</v>
      </c>
      <c r="D106" s="8" t="str" cm="1">
        <f t="array" aca="1" ref="D106" ca="1">INDEX(tRealM[clubFórmula],RANDBETWEEN(1,ROWS(tRealM[Apellido2])))</f>
        <v>PS Water Benidorm</v>
      </c>
      <c r="E106" s="9">
        <f>tRealM[[#This Row],[Tiempo1]]</f>
        <v>0.1052199074074074</v>
      </c>
      <c r="F106" s="9" t="str">
        <f>_xlfn.LET(
    _xlpm.k, tRealM[[#This Row],[Tiempo2]],
    IF(_xlpm.k="", "", _xlpm.k)
  )</f>
        <v/>
      </c>
      <c r="G106" s="8" t="str">
        <f>_xlfn.LET(
    _xlpm.k, tRealM[[#This Row],[Puntos]],
    IF(_xlpm.k="", "", _xlpm.k)
  )</f>
        <v/>
      </c>
      <c r="H106" s="8" t="str" cm="1">
        <f t="array" aca="1" ref="H10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7" spans="1:8" x14ac:dyDescent="0.2">
      <c r="A107" s="8">
        <v>104</v>
      </c>
      <c r="B107" s="8" t="str" cm="1">
        <f t="array" aca="1" ref="B10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JIMENEZ FERNANDEZ, MIGUEL</v>
      </c>
      <c r="C107" s="8" cm="1">
        <f t="array" aca="1" ref="C107" ca="1">INDEX(tRealM[Año],RANDBETWEEN(1,ROWS(tRealM[Apellido2])))</f>
        <v>2003</v>
      </c>
      <c r="D107" s="8" t="str" cm="1">
        <f t="array" aca="1" ref="D107" ca="1">INDEX(tRealM[clubFórmula],RANDBETWEEN(1,ROWS(tRealM[Apellido2])))</f>
        <v>Club Natación Guadalajara</v>
      </c>
      <c r="E107" s="9">
        <f>tRealM[[#This Row],[Tiempo1]]</f>
        <v>0.10650462962962963</v>
      </c>
      <c r="F107" s="9" t="str">
        <f>_xlfn.LET(
    _xlpm.k, tRealM[[#This Row],[Tiempo2]],
    IF(_xlpm.k="", "", _xlpm.k)
  )</f>
        <v/>
      </c>
      <c r="G107" s="8" t="str">
        <f>_xlfn.LET(
    _xlpm.k, tRealM[[#This Row],[Puntos]],
    IF(_xlpm.k="", "", _xlpm.k)
  )</f>
        <v/>
      </c>
      <c r="H107" s="8" t="str" cm="1">
        <f t="array" aca="1" ref="H10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8" spans="1:8" x14ac:dyDescent="0.2">
      <c r="A108" s="8">
        <v>105</v>
      </c>
      <c r="B108" s="8" t="str" cm="1">
        <f t="array" aca="1" ref="B10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PARDO GARCIA, RAUL</v>
      </c>
      <c r="C108" s="8" cm="1">
        <f t="array" aca="1" ref="C108" ca="1">INDEX(tRealM[Año],RANDBETWEEN(1,ROWS(tRealM[Apellido2])))</f>
        <v>2007</v>
      </c>
      <c r="D108" s="8" t="str" cm="1">
        <f t="array" aca="1" ref="D108" ca="1">INDEX(tRealM[clubFórmula],RANDBETWEEN(1,ROWS(tRealM[Apellido2])))</f>
        <v>Club Natación y Salvamento Oriol Imperial</v>
      </c>
      <c r="E108" s="9">
        <f>tRealM[[#This Row],[Tiempo1]]</f>
        <v>0.10670138888888889</v>
      </c>
      <c r="F108" s="9" t="str">
        <f>_xlfn.LET(
    _xlpm.k, tRealM[[#This Row],[Tiempo2]],
    IF(_xlpm.k="", "", _xlpm.k)
  )</f>
        <v/>
      </c>
      <c r="G108" s="8" t="str">
        <f>_xlfn.LET(
    _xlpm.k, tRealM[[#This Row],[Puntos]],
    IF(_xlpm.k="", "", _xlpm.k)
  )</f>
        <v/>
      </c>
      <c r="H108" s="8" t="str" cm="1">
        <f t="array" aca="1" ref="H10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09" spans="1:8" x14ac:dyDescent="0.2">
      <c r="A109" s="8">
        <v>106</v>
      </c>
      <c r="B109" s="8" t="str" cm="1">
        <f t="array" aca="1" ref="B10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PIÑAN CANTARERO, ALEJANDRO</v>
      </c>
      <c r="C109" s="8" cm="1">
        <f t="array" aca="1" ref="C109" ca="1">INDEX(tRealM[Año],RANDBETWEEN(1,ROWS(tRealM[Apellido2])))</f>
        <v>2009</v>
      </c>
      <c r="D109" s="8" t="str" cm="1">
        <f t="array" aca="1" ref="D109" ca="1">INDEX(tRealM[clubFórmula],RANDBETWEEN(1,ROWS(tRealM[Apellido2])))</f>
        <v>Real Club Náutico de Tenerife</v>
      </c>
      <c r="E109" s="9">
        <f>tRealM[[#This Row],[Tiempo1]]</f>
        <v>0.10678240740740741</v>
      </c>
      <c r="F109" s="9" t="str">
        <f>_xlfn.LET(
    _xlpm.k, tRealM[[#This Row],[Tiempo2]],
    IF(_xlpm.k="", "", _xlpm.k)
  )</f>
        <v/>
      </c>
      <c r="G109" s="8" t="str">
        <f>_xlfn.LET(
    _xlpm.k, tRealM[[#This Row],[Puntos]],
    IF(_xlpm.k="", "", _xlpm.k)
  )</f>
        <v/>
      </c>
      <c r="H109" s="8" t="str" cm="1">
        <f t="array" aca="1" ref="H10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0" spans="1:8" x14ac:dyDescent="0.2">
      <c r="A110" s="8">
        <v>107</v>
      </c>
      <c r="B110" s="8" t="str" cm="1">
        <f t="array" aca="1" ref="B110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PARDO VILAGRAN, ALVARO</v>
      </c>
      <c r="C110" s="8" cm="1">
        <f t="array" aca="1" ref="C110" ca="1">INDEX(tRealM[Año],RANDBETWEEN(1,ROWS(tRealM[Apellido2])))</f>
        <v>2009</v>
      </c>
      <c r="D110" s="8" t="str" cm="1">
        <f t="array" aca="1" ref="D110" ca="1">INDEX(tRealM[clubFórmula],RANDBETWEEN(1,ROWS(tRealM[Apellido2])))</f>
        <v>Club Salvamento Vilagarcía</v>
      </c>
      <c r="E110" s="9">
        <f>tRealM[[#This Row],[Tiempo1]]</f>
        <v>0.10759259259259259</v>
      </c>
      <c r="F110" s="9" t="str">
        <f>_xlfn.LET(
    _xlpm.k, tRealM[[#This Row],[Tiempo2]],
    IF(_xlpm.k="", "", _xlpm.k)
  )</f>
        <v/>
      </c>
      <c r="G110" s="8" t="str">
        <f>_xlfn.LET(
    _xlpm.k, tRealM[[#This Row],[Puntos]],
    IF(_xlpm.k="", "", _xlpm.k)
  )</f>
        <v/>
      </c>
      <c r="H110" s="8" t="str" cm="1">
        <f t="array" aca="1" ref="H110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1" spans="1:8" x14ac:dyDescent="0.2">
      <c r="A111" s="8">
        <v>108</v>
      </c>
      <c r="B111" s="8" t="str" cm="1">
        <f t="array" aca="1" ref="B111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JORGE COMPANY, PEDRO</v>
      </c>
      <c r="C111" s="8" cm="1">
        <f t="array" aca="1" ref="C111" ca="1">INDEX(tRealM[Año],RANDBETWEEN(1,ROWS(tRealM[Apellido2])))</f>
        <v>2010</v>
      </c>
      <c r="D111" s="8" t="str" cm="1">
        <f t="array" aca="1" ref="D111" ca="1">INDEX(tRealM[clubFórmula],RANDBETWEEN(1,ROWS(tRealM[Apellido2])))</f>
        <v>Asociación Deportiva Natación Cáceres</v>
      </c>
      <c r="E111" s="9">
        <f>tRealM[[#This Row],[Tiempo1]]</f>
        <v>0.10768518518518519</v>
      </c>
      <c r="F111" s="9" t="str">
        <f>_xlfn.LET(
    _xlpm.k, tRealM[[#This Row],[Tiempo2]],
    IF(_xlpm.k="", "", _xlpm.k)
  )</f>
        <v/>
      </c>
      <c r="G111" s="8" t="str">
        <f>_xlfn.LET(
    _xlpm.k, tRealM[[#This Row],[Puntos]],
    IF(_xlpm.k="", "", _xlpm.k)
  )</f>
        <v/>
      </c>
      <c r="H111" s="8" t="str" cm="1">
        <f t="array" aca="1" ref="H111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2" spans="1:8" x14ac:dyDescent="0.2">
      <c r="A112" s="8">
        <v>109</v>
      </c>
      <c r="B112" s="8" t="str" cm="1">
        <f t="array" aca="1" ref="B112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GALLARDO TARANILLA, CARLES</v>
      </c>
      <c r="C112" s="8" cm="1">
        <f t="array" aca="1" ref="C112" ca="1">INDEX(tRealM[Año],RANDBETWEEN(1,ROWS(tRealM[Apellido2])))</f>
        <v>2010</v>
      </c>
      <c r="D112" s="8" t="str" cm="1">
        <f t="array" aca="1" ref="D112" ca="1">INDEX(tRealM[clubFórmula],RANDBETWEEN(1,ROWS(tRealM[Apellido2])))</f>
        <v>Club Salvamento y Natación Silla</v>
      </c>
      <c r="E112" s="9">
        <f>tRealM[[#This Row],[Tiempo1]]</f>
        <v>0.11012731481481482</v>
      </c>
      <c r="F112" s="9" t="str">
        <f>_xlfn.LET(
    _xlpm.k, tRealM[[#This Row],[Tiempo2]],
    IF(_xlpm.k="", "", _xlpm.k)
  )</f>
        <v/>
      </c>
      <c r="G112" s="8" t="str">
        <f>_xlfn.LET(
    _xlpm.k, tRealM[[#This Row],[Puntos]],
    IF(_xlpm.k="", "", _xlpm.k)
  )</f>
        <v/>
      </c>
      <c r="H112" s="8" t="str" cm="1">
        <f t="array" aca="1" ref="H112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3" spans="1:8" x14ac:dyDescent="0.2">
      <c r="A113" s="8">
        <v>110</v>
      </c>
      <c r="B113" s="8" t="str" cm="1">
        <f t="array" aca="1" ref="B113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CASTELLANOS RODRIGUEZ, PAU</v>
      </c>
      <c r="C113" s="8" cm="1">
        <f t="array" aca="1" ref="C113" ca="1">INDEX(tRealM[Año],RANDBETWEEN(1,ROWS(tRealM[Apellido2])))</f>
        <v>2004</v>
      </c>
      <c r="D113" s="8" t="str" cm="1">
        <f t="array" aca="1" ref="D113" ca="1">INDEX(tRealM[clubFórmula],RANDBETWEEN(1,ROWS(tRealM[Apellido2])))</f>
        <v>Club Natació Reus Ploms</v>
      </c>
      <c r="E113" s="9">
        <f>tRealM[[#This Row],[Tiempo1]]</f>
        <v>0.11081018518518519</v>
      </c>
      <c r="F113" s="9" t="str">
        <f>_xlfn.LET(
    _xlpm.k, tRealM[[#This Row],[Tiempo2]],
    IF(_xlpm.k="", "", _xlpm.k)
  )</f>
        <v/>
      </c>
      <c r="G113" s="8" t="str">
        <f>_xlfn.LET(
    _xlpm.k, tRealM[[#This Row],[Puntos]],
    IF(_xlpm.k="", "", _xlpm.k)
  )</f>
        <v/>
      </c>
      <c r="H113" s="8" t="str" cm="1">
        <f t="array" aca="1" ref="H113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4" spans="1:8" x14ac:dyDescent="0.2">
      <c r="A114" s="8">
        <v>111</v>
      </c>
      <c r="B114" s="8" t="str" cm="1">
        <f t="array" aca="1" ref="B114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MEDINA RAMÍREZ, JAVIER</v>
      </c>
      <c r="C114" s="8" cm="1">
        <f t="array" aca="1" ref="C114" ca="1">INDEX(tRealM[Año],RANDBETWEEN(1,ROWS(tRealM[Apellido2])))</f>
        <v>2010</v>
      </c>
      <c r="D114" s="8" t="str" cm="1">
        <f t="array" aca="1" ref="D114" ca="1">INDEX(tRealM[clubFórmula],RANDBETWEEN(1,ROWS(tRealM[Apellido2])))</f>
        <v>Club Salvamento y Socorrismo Benavente</v>
      </c>
      <c r="E114" s="9">
        <f>tRealM[[#This Row],[Tiempo1]]</f>
        <v>0.11256944444444444</v>
      </c>
      <c r="F114" s="9" t="str">
        <f>_xlfn.LET(
    _xlpm.k, tRealM[[#This Row],[Tiempo2]],
    IF(_xlpm.k="", "", _xlpm.k)
  )</f>
        <v/>
      </c>
      <c r="G114" s="8" t="str">
        <f>_xlfn.LET(
    _xlpm.k, tRealM[[#This Row],[Puntos]],
    IF(_xlpm.k="", "", _xlpm.k)
  )</f>
        <v/>
      </c>
      <c r="H114" s="8" t="str" cm="1">
        <f t="array" aca="1" ref="H114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5" spans="1:8" x14ac:dyDescent="0.2">
      <c r="A115" s="8">
        <v>112</v>
      </c>
      <c r="B115" s="8" t="str" cm="1">
        <f t="array" aca="1" ref="B115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MARTINEZ SANTOS, XOEL</v>
      </c>
      <c r="C115" s="8" cm="1">
        <f t="array" aca="1" ref="C115" ca="1">INDEX(tRealM[Año],RANDBETWEEN(1,ROWS(tRealM[Apellido2])))</f>
        <v>2004</v>
      </c>
      <c r="D115" s="8" t="str" cm="1">
        <f t="array" aca="1" ref="D115" ca="1">INDEX(tRealM[clubFórmula],RANDBETWEEN(1,ROWS(tRealM[Apellido2])))</f>
        <v>Club Salvamento y Socorrismo Benavente</v>
      </c>
      <c r="E115" s="9">
        <f>tRealM[[#This Row],[Tiempo1]]</f>
        <v>0.11898148148148148</v>
      </c>
      <c r="F115" s="9" t="str">
        <f>_xlfn.LET(
    _xlpm.k, tRealM[[#This Row],[Tiempo2]],
    IF(_xlpm.k="", "", _xlpm.k)
  )</f>
        <v/>
      </c>
      <c r="G115" s="8" t="str">
        <f>_xlfn.LET(
    _xlpm.k, tRealM[[#This Row],[Puntos]],
    IF(_xlpm.k="", "", _xlpm.k)
  )</f>
        <v/>
      </c>
      <c r="H115" s="8" t="str" cm="1">
        <f t="array" aca="1" ref="H115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6" spans="1:8" x14ac:dyDescent="0.2">
      <c r="A116" s="8">
        <v>113</v>
      </c>
      <c r="B116" s="8" t="str" cm="1">
        <f t="array" aca="1" ref="B116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TELLO FERREIRA, LARO</v>
      </c>
      <c r="C116" s="8" cm="1">
        <f t="array" aca="1" ref="C116" ca="1">INDEX(tRealM[Año],RANDBETWEEN(1,ROWS(tRealM[Apellido2])))</f>
        <v>2003</v>
      </c>
      <c r="D116" s="8" t="str" cm="1">
        <f t="array" aca="1" ref="D116" ca="1">INDEX(tRealM[clubFórmula],RANDBETWEEN(1,ROWS(tRealM[Apellido2])))</f>
        <v>PS Water Benidorm</v>
      </c>
      <c r="E116" s="9" t="str">
        <f>tRealM[[#This Row],[Tiempo1]]</f>
        <v>Baja</v>
      </c>
      <c r="F116" s="9" t="str">
        <f>_xlfn.LET(
    _xlpm.k, tRealM[[#This Row],[Tiempo2]],
    IF(_xlpm.k="", "", _xlpm.k)
  )</f>
        <v/>
      </c>
      <c r="G116" s="8" t="str">
        <f>_xlfn.LET(
    _xlpm.k, tRealM[[#This Row],[Puntos]],
    IF(_xlpm.k="", "", _xlpm.k)
  )</f>
        <v/>
      </c>
      <c r="H116" s="8" t="str" cm="1">
        <f t="array" aca="1" ref="H116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7" spans="1:8" x14ac:dyDescent="0.2">
      <c r="A117" s="8">
        <v>114</v>
      </c>
      <c r="B117" s="8" t="str" cm="1">
        <f t="array" aca="1" ref="B117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MARTÍNEZ GONZALEZ, ADRIAN</v>
      </c>
      <c r="C117" s="8" cm="1">
        <f t="array" aca="1" ref="C117" ca="1">INDEX(tRealM[Año],RANDBETWEEN(1,ROWS(tRealM[Apellido2])))</f>
        <v>2008</v>
      </c>
      <c r="D117" s="8" t="str" cm="1">
        <f t="array" aca="1" ref="D117" ca="1">INDEX(tRealM[clubFórmula],RANDBETWEEN(1,ROWS(tRealM[Apellido2])))</f>
        <v>Alcarreño de Salvamento y Socorrismo</v>
      </c>
      <c r="E117" s="9" t="str">
        <f>tRealM[[#This Row],[Tiempo1]]</f>
        <v>Baja</v>
      </c>
      <c r="F117" s="9" t="str">
        <f>_xlfn.LET(
    _xlpm.k, tRealM[[#This Row],[Tiempo2]],
    IF(_xlpm.k="", "", _xlpm.k)
  )</f>
        <v/>
      </c>
      <c r="G117" s="8" t="str">
        <f>_xlfn.LET(
    _xlpm.k, tRealM[[#This Row],[Puntos]],
    IF(_xlpm.k="", "", _xlpm.k)
  )</f>
        <v/>
      </c>
      <c r="H117" s="8" t="str" cm="1">
        <f t="array" aca="1" ref="H117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8" spans="1:8" x14ac:dyDescent="0.2">
      <c r="A118" s="8">
        <v>115</v>
      </c>
      <c r="B118" s="8" t="str" cm="1">
        <f t="array" aca="1" ref="B118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CAPLLONCH PASCUAL, MATEO</v>
      </c>
      <c r="C118" s="8" cm="1">
        <f t="array" aca="1" ref="C118" ca="1">INDEX(tRealM[Año],RANDBETWEEN(1,ROWS(tRealM[Apellido2])))</f>
        <v>2008</v>
      </c>
      <c r="D118" s="8" t="str" cm="1">
        <f t="array" aca="1" ref="D118" ca="1">INDEX(tRealM[clubFórmula],RANDBETWEEN(1,ROWS(tRealM[Apellido2])))</f>
        <v>Club Natació Reus Ploms</v>
      </c>
      <c r="E118" s="9" t="str">
        <f>tRealM[[#This Row],[Tiempo1]]</f>
        <v>Baja</v>
      </c>
      <c r="F118" s="9" t="str">
        <f>_xlfn.LET(
    _xlpm.k, tRealM[[#This Row],[Tiempo2]],
    IF(_xlpm.k="", "", _xlpm.k)
  )</f>
        <v/>
      </c>
      <c r="G118" s="8" t="str">
        <f>_xlfn.LET(
    _xlpm.k, tRealM[[#This Row],[Puntos]],
    IF(_xlpm.k="", "", _xlpm.k)
  )</f>
        <v/>
      </c>
      <c r="H118" s="8" t="str" cm="1">
        <f t="array" aca="1" ref="H118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  <row r="119" spans="1:8" x14ac:dyDescent="0.2">
      <c r="A119" s="8">
        <v>116</v>
      </c>
      <c r="B119" s="8" t="str" cm="1">
        <f t="array" aca="1" ref="B119" ca="1">_xlfn.CONCAT(_xlfn.LET(
    _xlpm.k, RANDBETWEEN(1, ROWS(tRealM[Apellido2])),
    _xlpm.n, INDEX(tRealM[Apellido1], _xlpm.k),
    IF(_xlpm.n="", "", _xlpm.n)
  )," ",
  _xlfn.LET(
    _xlpm.k, RANDBETWEEN(1, ROWS(tRealM[Apellido2])),
    _xlpm.n, INDEX(tRealM[Apellido2], _xlpm.k),
    IF(_xlpm.n="", "", _xlpm.n)
  ),", ",
  _xlfn.LET(
    _xlpm.k, RANDBETWEEN(1, ROWS(tRealM[Apellido2])),
    _xlpm.n, INDEX(tRealM[Nombre], _xlpm.k),
    IF(_xlpm.n="", "", _xlpm.n)
  )
)</f>
        <v>PAZ ACERON, DAVID</v>
      </c>
      <c r="C119" s="8" cm="1">
        <f t="array" aca="1" ref="C119" ca="1">INDEX(tRealM[Año],RANDBETWEEN(1,ROWS(tRealM[Apellido2])))</f>
        <v>2008</v>
      </c>
      <c r="D119" s="8" t="str" cm="1">
        <f t="array" aca="1" ref="D119" ca="1">INDEX(tRealM[clubFórmula],RANDBETWEEN(1,ROWS(tRealM[Apellido2])))</f>
        <v>Club Salvamento y Natación Silla</v>
      </c>
      <c r="E119" s="9" t="str">
        <f>tRealM[[#This Row],[Tiempo1]]</f>
        <v>No Presentado</v>
      </c>
      <c r="F119" s="9" t="str">
        <f>_xlfn.LET(
    _xlpm.k, tRealM[[#This Row],[Tiempo2]],
    IF(_xlpm.k="", "", _xlpm.k)
  )</f>
        <v/>
      </c>
      <c r="G119" s="8" t="str">
        <f>_xlfn.LET(
    _xlpm.k, tRealM[[#This Row],[Puntos]],
    IF(_xlpm.k="", "", _xlpm.k)
  )</f>
        <v/>
      </c>
      <c r="H119" s="8" t="str" cm="1">
        <f t="array" aca="1" ref="H119" ca="1">_xlfn.LET(
  _xlpm.anioNac, tRealM[Año],
  _xlpm.edad, YEAR(TODAY())-_xlpm.anioNac,
  IF(OR(_xlpm.edad=11,_xlpm.edad=12),"Infantil",
  IF(OR(_xlpm.edad=13,_xlpm.edad=14),"Cadete",
  IF(OR(_xlpm.edad=15,_xlpm.edad=16),"Juvenil",
  IF(OR(_xlpm.edad=17,_xlpm.edad=18),"Junior",
  IF(AND(_xlpm.edad&gt;=19,_xlpm.edad&lt;=29),"Absoluta",
  IF(_xlpm.edad&gt;=30,"Máster "&amp;(FLOOR((_xlpm.edad-30)/5,1)*5+30)&amp;"-"&amp;(FLOOR((_xlpm.edad-30)/5,1)*5+34),
  IF(_xlpm.edad&gt;=70,"Máster +70",
  ""
  )))))))
)</f>
        <v>Juvenil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25B6-0DDD-43A8-B4D0-E9616C66AB7C}">
  <dimension ref="A1:H207"/>
  <sheetViews>
    <sheetView tabSelected="1" topLeftCell="A41" zoomScaleNormal="100" workbookViewId="0">
      <selection activeCell="E1" sqref="E1:F1048576"/>
    </sheetView>
  </sheetViews>
  <sheetFormatPr defaultRowHeight="12.75" x14ac:dyDescent="0.2"/>
  <cols>
    <col min="1" max="1" width="8.85546875" style="8" bestFit="1" customWidth="1"/>
    <col min="2" max="2" width="33.85546875" style="8" bestFit="1" customWidth="1"/>
    <col min="3" max="3" width="6.7109375" style="8" bestFit="1" customWidth="1"/>
    <col min="4" max="4" width="43.5703125" style="8" bestFit="1" customWidth="1"/>
    <col min="5" max="6" width="10.42578125" style="8" bestFit="1" customWidth="1"/>
    <col min="7" max="7" width="9.5703125" style="8" bestFit="1" customWidth="1"/>
    <col min="8" max="8" width="12.140625" style="8" bestFit="1" customWidth="1"/>
    <col min="9" max="16384" width="9.140625" style="8"/>
  </cols>
  <sheetData>
    <row r="1" spans="1:8" ht="29.25" x14ac:dyDescent="0.7">
      <c r="A1" s="16" t="s">
        <v>910</v>
      </c>
    </row>
    <row r="3" spans="1:8" x14ac:dyDescent="0.2">
      <c r="A3" s="4" t="s">
        <v>282</v>
      </c>
      <c r="B3" s="5" t="s">
        <v>285</v>
      </c>
      <c r="C3" s="5" t="s">
        <v>286</v>
      </c>
      <c r="D3" s="5" t="s">
        <v>2</v>
      </c>
      <c r="E3" s="5" t="s">
        <v>287</v>
      </c>
      <c r="F3" s="5" t="s">
        <v>288</v>
      </c>
      <c r="G3" s="6" t="s">
        <v>289</v>
      </c>
      <c r="H3" s="7" t="s">
        <v>305</v>
      </c>
    </row>
    <row r="4" spans="1:8" x14ac:dyDescent="0.2">
      <c r="A4" s="8">
        <v>1</v>
      </c>
      <c r="B4" s="8" t="str" cm="1">
        <f t="array" aca="1" ref="B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MORENO PENSADO, CARMEN</v>
      </c>
      <c r="C4" s="8" cm="1">
        <f t="array" aca="1" ref="C4" ca="1">INDEX(tRealFM[Año],RANDBETWEEN(1,ROWS(tRealFM[Apellido2])))</f>
        <v>1982</v>
      </c>
      <c r="D4" s="8" t="str" cm="1">
        <f t="array" aca="1" ref="D4" ca="1">INDEX(tRealFM[clubFórmula],RANDBETWEEN(1,ROWS(tRealFM[Apellido2])))</f>
        <v>Escuela Salvamento Almendralejo</v>
      </c>
      <c r="E4" s="9">
        <f>tRealFM[[#This Row],[Tiempo1]]</f>
        <v>0.11031249999999999</v>
      </c>
      <c r="F4" s="9" t="str">
        <f>_xlfn.LET(
    _xlpm.k, tRealFM[[#This Row],[Tiempo2]],
    IF(_xlpm.k="", "", _xlpm.k)
  )</f>
        <v/>
      </c>
      <c r="G4" s="10">
        <f>_xlfn.LET(
    _xlpm.k, tRealFM[[#This Row],[Puntos]],
    IF(_xlpm.k="", "", _xlpm.k)
  )</f>
        <v>20</v>
      </c>
      <c r="H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5" spans="1:8" x14ac:dyDescent="0.2">
      <c r="A5" s="8">
        <v>2</v>
      </c>
      <c r="B5" s="8" t="str" cm="1">
        <f t="array" aca="1" ref="B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PADRINO FATOU, BEATRIZ</v>
      </c>
      <c r="C5" s="8" cm="1">
        <f t="array" aca="1" ref="C5" ca="1">INDEX(tRealFM[Año],RANDBETWEEN(1,ROWS(tRealFM[Apellido2])))</f>
        <v>1990</v>
      </c>
      <c r="D5" s="8" t="str" cm="1">
        <f t="array" aca="1" ref="D5" ca="1">INDEX(tRealFM[clubFórmula],RANDBETWEEN(1,ROWS(tRealFM[Apellido2])))</f>
        <v>Loredo Surf Life Saving</v>
      </c>
      <c r="E5" s="9">
        <f>tRealFM[[#This Row],[Tiempo1]]</f>
        <v>0.11270833333333333</v>
      </c>
      <c r="F5" s="9" t="str">
        <f>_xlfn.LET(
    _xlpm.k, tRealFM[[#This Row],[Tiempo2]],
    IF(_xlpm.k="", "", _xlpm.k)
  )</f>
        <v/>
      </c>
      <c r="G5" s="10">
        <f>_xlfn.LET(
    _xlpm.k, tRealFM[[#This Row],[Puntos]],
    IF(_xlpm.k="", "", _xlpm.k)
  )</f>
        <v>18</v>
      </c>
      <c r="H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6" spans="1:8" x14ac:dyDescent="0.2">
      <c r="A6" s="8">
        <v>3</v>
      </c>
      <c r="B6" s="8" t="str" cm="1">
        <f t="array" aca="1" ref="B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GIL FERNÁNDEZ, PATRICIA</v>
      </c>
      <c r="C6" s="8" cm="1">
        <f t="array" aca="1" ref="C6" ca="1">INDEX(tRealFM[Año],RANDBETWEEN(1,ROWS(tRealFM[Apellido2])))</f>
        <v>1948</v>
      </c>
      <c r="D6" s="8" t="str" cm="1">
        <f t="array" aca="1" ref="D6" ca="1">INDEX(tRealFM[clubFórmula],RANDBETWEEN(1,ROWS(tRealFM[Apellido2])))</f>
        <v>Alcarreño de Salvamento y Socorrismo</v>
      </c>
      <c r="E6" s="9">
        <f>tRealFM[[#This Row],[Tiempo1]]</f>
        <v>0.11564814814814815</v>
      </c>
      <c r="F6" s="9" t="str">
        <f>_xlfn.LET(
    _xlpm.k, tRealFM[[#This Row],[Tiempo2]],
    IF(_xlpm.k="", "", _xlpm.k)
  )</f>
        <v/>
      </c>
      <c r="G6" s="10">
        <f>_xlfn.LET(
    _xlpm.k, tRealFM[[#This Row],[Puntos]],
    IF(_xlpm.k="", "", _xlpm.k)
  )</f>
        <v>16</v>
      </c>
      <c r="H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7" spans="1:8" x14ac:dyDescent="0.2">
      <c r="A7" s="8">
        <v>4</v>
      </c>
      <c r="B7" s="8" t="str" cm="1">
        <f t="array" aca="1" ref="B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RODRIGUEZ RAMIREZ, MARIA TERESA</v>
      </c>
      <c r="C7" s="8" cm="1">
        <f t="array" aca="1" ref="C7" ca="1">INDEX(tRealFM[Año],RANDBETWEEN(1,ROWS(tRealFM[Apellido2])))</f>
        <v>1982</v>
      </c>
      <c r="D7" s="8" t="str" cm="1">
        <f t="array" aca="1" ref="D7" ca="1">INDEX(tRealFM[clubFórmula],RANDBETWEEN(1,ROWS(tRealFM[Apellido2])))</f>
        <v>Club A.C.N. Marisma</v>
      </c>
      <c r="E7" s="9">
        <f>tRealFM[[#This Row],[Tiempo1]]</f>
        <v>0.11677083333333334</v>
      </c>
      <c r="F7" s="9" t="str">
        <f>_xlfn.LET(
    _xlpm.k, tRealFM[[#This Row],[Tiempo2]],
    IF(_xlpm.k="", "", _xlpm.k)
  )</f>
        <v/>
      </c>
      <c r="G7" s="10">
        <f>_xlfn.LET(
    _xlpm.k, tRealFM[[#This Row],[Puntos]],
    IF(_xlpm.k="", "", _xlpm.k)
  )</f>
        <v>14</v>
      </c>
      <c r="H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8" spans="1:8" x14ac:dyDescent="0.2">
      <c r="A8" s="8">
        <v>5</v>
      </c>
      <c r="B8" s="8" t="str" cm="1">
        <f t="array" aca="1" ref="B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PARDO PENELLA, ANNA</v>
      </c>
      <c r="C8" s="8" cm="1">
        <f t="array" aca="1" ref="C8" ca="1">INDEX(tRealFM[Año],RANDBETWEEN(1,ROWS(tRealFM[Apellido2])))</f>
        <v>1963</v>
      </c>
      <c r="D8" s="8" t="str" cm="1">
        <f t="array" aca="1" ref="D8" ca="1">INDEX(tRealFM[clubFórmula],RANDBETWEEN(1,ROWS(tRealFM[Apellido2])))</f>
        <v>Club A.C.N. Marisma</v>
      </c>
      <c r="E8" s="9">
        <f>tRealFM[[#This Row],[Tiempo1]]</f>
        <v>0.13002314814814814</v>
      </c>
      <c r="F8" s="9" t="str">
        <f>_xlfn.LET(
    _xlpm.k, tRealFM[[#This Row],[Tiempo2]],
    IF(_xlpm.k="", "", _xlpm.k)
  )</f>
        <v/>
      </c>
      <c r="G8" s="10">
        <f>_xlfn.LET(
    _xlpm.k, tRealFM[[#This Row],[Puntos]],
    IF(_xlpm.k="", "", _xlpm.k)
  )</f>
        <v>13</v>
      </c>
      <c r="H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9" spans="1:8" x14ac:dyDescent="0.2">
      <c r="A9" s="8">
        <v>6</v>
      </c>
      <c r="B9" s="8" t="str" cm="1">
        <f t="array" aca="1" ref="B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RUBIO LESLIE, BEATRIZ</v>
      </c>
      <c r="C9" s="8" cm="1">
        <f t="array" aca="1" ref="C9" ca="1">INDEX(tRealFM[Año],RANDBETWEEN(1,ROWS(tRealFM[Apellido2])))</f>
        <v>1971</v>
      </c>
      <c r="D9" s="8" t="str" cm="1">
        <f t="array" aca="1" ref="D9" ca="1">INDEX(tRealFM[clubFórmula],RANDBETWEEN(1,ROWS(tRealFM[Apellido2])))</f>
        <v>Club Leucante</v>
      </c>
      <c r="E9" s="9">
        <f>tRealFM[[#This Row],[Tiempo1]]</f>
        <v>0.13693287037037036</v>
      </c>
      <c r="F9" s="9" t="str">
        <f>_xlfn.LET(
    _xlpm.k, tRealFM[[#This Row],[Tiempo2]],
    IF(_xlpm.k="", "", _xlpm.k)
  )</f>
        <v/>
      </c>
      <c r="G9" s="10">
        <f>_xlfn.LET(
    _xlpm.k, tRealFM[[#This Row],[Puntos]],
    IF(_xlpm.k="", "", _xlpm.k)
  )</f>
        <v>12</v>
      </c>
      <c r="H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0" spans="1:8" x14ac:dyDescent="0.2">
      <c r="A10" s="8">
        <v>7</v>
      </c>
      <c r="B10" s="8" t="str" cm="1">
        <f t="array" aca="1" ref="B1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CASTELLANOS GALLINA, ANA ISABEL</v>
      </c>
      <c r="C10" s="8" cm="1">
        <f t="array" aca="1" ref="C10" ca="1">INDEX(tRealFM[Año],RANDBETWEEN(1,ROWS(tRealFM[Apellido2])))</f>
        <v>1975</v>
      </c>
      <c r="D10" s="8" t="str" cm="1">
        <f t="array" aca="1" ref="D10" ca="1">INDEX(tRealFM[clubFórmula],RANDBETWEEN(1,ROWS(tRealFM[Apellido2])))</f>
        <v>C.D.E Pacífico Salvamento</v>
      </c>
      <c r="E10" s="9">
        <f>tRealFM[[#This Row],[Tiempo1]]</f>
        <v>0.14356481481481481</v>
      </c>
      <c r="F10" s="9" t="str">
        <f>_xlfn.LET(
    _xlpm.k, tRealFM[[#This Row],[Tiempo2]],
    IF(_xlpm.k="", "", _xlpm.k)
  )</f>
        <v/>
      </c>
      <c r="G10" s="10">
        <f>_xlfn.LET(
    _xlpm.k, tRealFM[[#This Row],[Puntos]],
    IF(_xlpm.k="", "", _xlpm.k)
  )</f>
        <v>11</v>
      </c>
      <c r="H1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1" spans="1:8" x14ac:dyDescent="0.2">
      <c r="A11" s="8">
        <v>8</v>
      </c>
      <c r="B11" s="8" t="str" cm="1">
        <f t="array" aca="1" ref="B1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SAN JOSE MARTÍN, ELENA</v>
      </c>
      <c r="C11" s="8" cm="1">
        <f t="array" aca="1" ref="C11" ca="1">INDEX(tRealFM[Año],RANDBETWEEN(1,ROWS(tRealFM[Apellido2])))</f>
        <v>1971</v>
      </c>
      <c r="D11" s="8" t="str" cm="1">
        <f t="array" aca="1" ref="D11" ca="1">INDEX(tRealFM[clubFórmula],RANDBETWEEN(1,ROWS(tRealFM[Apellido2])))</f>
        <v>Club Natación SOS Bétera</v>
      </c>
      <c r="E11" s="9">
        <f>tRealFM[[#This Row],[Tiempo1]]</f>
        <v>0.15033564814814815</v>
      </c>
      <c r="F11" s="9" t="str">
        <f>_xlfn.LET(
    _xlpm.k, tRealFM[[#This Row],[Tiempo2]],
    IF(_xlpm.k="", "", _xlpm.k)
  )</f>
        <v/>
      </c>
      <c r="G11" s="10">
        <f>_xlfn.LET(
    _xlpm.k, tRealFM[[#This Row],[Puntos]],
    IF(_xlpm.k="", "", _xlpm.k)
  )</f>
        <v>10</v>
      </c>
      <c r="H1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2" spans="1:8" x14ac:dyDescent="0.2">
      <c r="A12" s="8">
        <v>9</v>
      </c>
      <c r="B12" s="8" t="str" cm="1">
        <f t="array" aca="1" ref="B1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GARCÍA DIAZ, ELENA</v>
      </c>
      <c r="C12" s="8" cm="1">
        <f t="array" aca="1" ref="C12" ca="1">INDEX(tRealFM[Año],RANDBETWEEN(1,ROWS(tRealFM[Apellido2])))</f>
        <v>1970</v>
      </c>
      <c r="D12" s="8" t="str" cm="1">
        <f t="array" aca="1" ref="D12" ca="1">INDEX(tRealFM[clubFórmula],RANDBETWEEN(1,ROWS(tRealFM[Apellido2])))</f>
        <v>Club Natación y Salvamento Albasit</v>
      </c>
      <c r="E12" s="9">
        <f>tRealFM[[#This Row],[Tiempo1]]</f>
        <v>0.17299768518518518</v>
      </c>
      <c r="F12" s="9" t="str">
        <f>_xlfn.LET(
    _xlpm.k, tRealFM[[#This Row],[Tiempo2]],
    IF(_xlpm.k="", "", _xlpm.k)
  )</f>
        <v/>
      </c>
      <c r="G12" s="10">
        <f>_xlfn.LET(
    _xlpm.k, tRealFM[[#This Row],[Puntos]],
    IF(_xlpm.k="", "", _xlpm.k)
  )</f>
        <v>8</v>
      </c>
      <c r="H1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3" spans="1:8" x14ac:dyDescent="0.2">
      <c r="A13" s="8">
        <v>10</v>
      </c>
      <c r="B13" s="8" t="str" cm="1">
        <f t="array" aca="1" ref="B1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PIÑAN PICAZO, SARA</v>
      </c>
      <c r="C13" s="8" cm="1">
        <f t="array" aca="1" ref="C13" ca="1">INDEX(tRealFM[Año],RANDBETWEEN(1,ROWS(tRealFM[Apellido2])))</f>
        <v>1967</v>
      </c>
      <c r="D13" s="8" t="str" cm="1">
        <f t="array" aca="1" ref="D13" ca="1">INDEX(tRealFM[clubFórmula],RANDBETWEEN(1,ROWS(tRealFM[Apellido2])))</f>
        <v>Natación RACE</v>
      </c>
      <c r="E13" s="9">
        <f>tRealFM[[#This Row],[Tiempo1]]</f>
        <v>0.10770833333333334</v>
      </c>
      <c r="F13" s="9" t="str">
        <f>_xlfn.LET(
    _xlpm.k, tRealFM[[#This Row],[Tiempo2]],
    IF(_xlpm.k="", "", _xlpm.k)
  )</f>
        <v/>
      </c>
      <c r="G13" s="10">
        <f>_xlfn.LET(
    _xlpm.k, tRealFM[[#This Row],[Puntos]],
    IF(_xlpm.k="", "", _xlpm.k)
  )</f>
        <v>20</v>
      </c>
      <c r="H1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4" spans="1:8" x14ac:dyDescent="0.2">
      <c r="A14" s="8">
        <v>11</v>
      </c>
      <c r="B14" s="8" t="str" cm="1">
        <f t="array" aca="1" ref="B1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CASTELLANOS VALCARCE, MARÍA</v>
      </c>
      <c r="C14" s="8" cm="1">
        <f t="array" aca="1" ref="C14" ca="1">INDEX(tRealFM[Año],RANDBETWEEN(1,ROWS(tRealFM[Apellido2])))</f>
        <v>1976</v>
      </c>
      <c r="D14" s="8" t="str" cm="1">
        <f t="array" aca="1" ref="D14" ca="1">INDEX(tRealFM[clubFórmula],RANDBETWEEN(1,ROWS(tRealFM[Apellido2])))</f>
        <v>Club Salvamento y Socorrismo Carballo - SYSCA</v>
      </c>
      <c r="E14" s="9">
        <f>tRealFM[[#This Row],[Tiempo1]]</f>
        <v>0.11827546296296296</v>
      </c>
      <c r="F14" s="9" t="str">
        <f>_xlfn.LET(
    _xlpm.k, tRealFM[[#This Row],[Tiempo2]],
    IF(_xlpm.k="", "", _xlpm.k)
  )</f>
        <v/>
      </c>
      <c r="G14" s="10">
        <f>_xlfn.LET(
    _xlpm.k, tRealFM[[#This Row],[Puntos]],
    IF(_xlpm.k="", "", _xlpm.k)
  )</f>
        <v>18</v>
      </c>
      <c r="H1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5" spans="1:8" x14ac:dyDescent="0.2">
      <c r="A15" s="8">
        <v>12</v>
      </c>
      <c r="B15" s="8" t="str" cm="1">
        <f t="array" aca="1" ref="B1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GASCÓ CAPARROS, FATIMA</v>
      </c>
      <c r="C15" s="8" cm="1">
        <f t="array" aca="1" ref="C15" ca="1">INDEX(tRealFM[Año],RANDBETWEEN(1,ROWS(tRealFM[Apellido2])))</f>
        <v>1972</v>
      </c>
      <c r="D15" s="8" t="str" cm="1">
        <f t="array" aca="1" ref="D15" ca="1">INDEX(tRealFM[clubFórmula],RANDBETWEEN(1,ROWS(tRealFM[Apellido2])))</f>
        <v>Loredo Surf Life Saving</v>
      </c>
      <c r="E15" s="9">
        <f>tRealFM[[#This Row],[Tiempo1]]</f>
        <v>0.11885416666666666</v>
      </c>
      <c r="F15" s="9" t="str">
        <f>_xlfn.LET(
    _xlpm.k, tRealFM[[#This Row],[Tiempo2]],
    IF(_xlpm.k="", "", _xlpm.k)
  )</f>
        <v/>
      </c>
      <c r="G15" s="10">
        <f>_xlfn.LET(
    _xlpm.k, tRealFM[[#This Row],[Puntos]],
    IF(_xlpm.k="", "", _xlpm.k)
  )</f>
        <v>16</v>
      </c>
      <c r="H1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6" spans="1:8" x14ac:dyDescent="0.2">
      <c r="A16" s="8">
        <v>13</v>
      </c>
      <c r="B16" s="8" t="str" cm="1">
        <f t="array" aca="1" ref="B1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PASTOR RODRIGUEZ, NAZARET</v>
      </c>
      <c r="C16" s="8" cm="1">
        <f t="array" aca="1" ref="C16" ca="1">INDEX(tRealFM[Año],RANDBETWEEN(1,ROWS(tRealFM[Apellido2])))</f>
        <v>1981</v>
      </c>
      <c r="D16" s="8" t="str" cm="1">
        <f t="array" aca="1" ref="D16" ca="1">INDEX(tRealFM[clubFórmula],RANDBETWEEN(1,ROWS(tRealFM[Apellido2])))</f>
        <v>Club Salvamento y Socorrismo Carballo - SYSCA</v>
      </c>
      <c r="E16" s="9">
        <f>tRealFM[[#This Row],[Tiempo1]]</f>
        <v>0.11929398148148149</v>
      </c>
      <c r="F16" s="9" t="str">
        <f>_xlfn.LET(
    _xlpm.k, tRealFM[[#This Row],[Tiempo2]],
    IF(_xlpm.k="", "", _xlpm.k)
  )</f>
        <v/>
      </c>
      <c r="G16" s="10">
        <f>_xlfn.LET(
    _xlpm.k, tRealFM[[#This Row],[Puntos]],
    IF(_xlpm.k="", "", _xlpm.k)
  )</f>
        <v>14</v>
      </c>
      <c r="H1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7" spans="1:8" x14ac:dyDescent="0.2">
      <c r="A17" s="8">
        <v>14</v>
      </c>
      <c r="B17" s="8" t="str" cm="1">
        <f t="array" aca="1" ref="B1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GIL MARTINA, PATRICIA</v>
      </c>
      <c r="C17" s="8" cm="1">
        <f t="array" aca="1" ref="C17" ca="1">INDEX(tRealFM[Año],RANDBETWEEN(1,ROWS(tRealFM[Apellido2])))</f>
        <v>1971</v>
      </c>
      <c r="D17" s="8" t="str" cm="1">
        <f t="array" aca="1" ref="D17" ca="1">INDEX(tRealFM[clubFórmula],RANDBETWEEN(1,ROWS(tRealFM[Apellido2])))</f>
        <v>Alcarreño de Salvamento y Socorrismo</v>
      </c>
      <c r="E17" s="9">
        <f>tRealFM[[#This Row],[Tiempo1]]</f>
        <v>0.12450231481481482</v>
      </c>
      <c r="F17" s="9" t="str">
        <f>_xlfn.LET(
    _xlpm.k, tRealFM[[#This Row],[Tiempo2]],
    IF(_xlpm.k="", "", _xlpm.k)
  )</f>
        <v/>
      </c>
      <c r="G17" s="10">
        <f>_xlfn.LET(
    _xlpm.k, tRealFM[[#This Row],[Puntos]],
    IF(_xlpm.k="", "", _xlpm.k)
  )</f>
        <v>13</v>
      </c>
      <c r="H1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8" spans="1:8" x14ac:dyDescent="0.2">
      <c r="A18" s="8">
        <v>15</v>
      </c>
      <c r="B18" s="8" t="str" cm="1">
        <f t="array" aca="1" ref="B1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CEDRÉS MOTA, ANA</v>
      </c>
      <c r="C18" s="8" cm="1">
        <f t="array" aca="1" ref="C18" ca="1">INDEX(tRealFM[Año],RANDBETWEEN(1,ROWS(tRealFM[Apellido2])))</f>
        <v>1975</v>
      </c>
      <c r="D18" s="8" t="str" cm="1">
        <f t="array" aca="1" ref="D18" ca="1">INDEX(tRealFM[clubFórmula],RANDBETWEEN(1,ROWS(tRealFM[Apellido2])))</f>
        <v>Alcarreño de Salvamento y Socorrismo</v>
      </c>
      <c r="E18" s="9">
        <f>tRealFM[[#This Row],[Tiempo1]]</f>
        <v>0.12633101851851852</v>
      </c>
      <c r="F18" s="9" t="str">
        <f>_xlfn.LET(
    _xlpm.k, tRealFM[[#This Row],[Tiempo2]],
    IF(_xlpm.k="", "", _xlpm.k)
  )</f>
        <v/>
      </c>
      <c r="G18" s="10">
        <f>_xlfn.LET(
    _xlpm.k, tRealFM[[#This Row],[Puntos]],
    IF(_xlpm.k="", "", _xlpm.k)
  )</f>
        <v>12</v>
      </c>
      <c r="H1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19" spans="1:8" x14ac:dyDescent="0.2">
      <c r="A19" s="8">
        <v>16</v>
      </c>
      <c r="B19" s="8" t="str" cm="1">
        <f t="array" aca="1" ref="B1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MARTÍNEZ RODRIGUEZ, PAULA</v>
      </c>
      <c r="C19" s="8" cm="1">
        <f t="array" aca="1" ref="C19" ca="1">INDEX(tRealFM[Año],RANDBETWEEN(1,ROWS(tRealFM[Apellido2])))</f>
        <v>1987</v>
      </c>
      <c r="D19" s="8" t="str" cm="1">
        <f t="array" aca="1" ref="D19" ca="1">INDEX(tRealFM[clubFórmula],RANDBETWEEN(1,ROWS(tRealFM[Apellido2])))</f>
        <v>Natación RACE</v>
      </c>
      <c r="E19" s="9">
        <f>tRealFM[[#This Row],[Tiempo1]]</f>
        <v>0.14184027777777777</v>
      </c>
      <c r="F19" s="9" t="str">
        <f>_xlfn.LET(
    _xlpm.k, tRealFM[[#This Row],[Tiempo2]],
    IF(_xlpm.k="", "", _xlpm.k)
  )</f>
        <v/>
      </c>
      <c r="G19" s="10">
        <f>_xlfn.LET(
    _xlpm.k, tRealFM[[#This Row],[Puntos]],
    IF(_xlpm.k="", "", _xlpm.k)
  )</f>
        <v>11</v>
      </c>
      <c r="H1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0" spans="1:8" x14ac:dyDescent="0.2">
      <c r="A20" s="8">
        <v>17</v>
      </c>
      <c r="B20" s="8" t="str" cm="1">
        <f t="array" aca="1" ref="B2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MONCHO TARRERO, MARIA EMPAR</v>
      </c>
      <c r="C20" s="8" cm="1">
        <f t="array" aca="1" ref="C20" ca="1">INDEX(tRealFM[Año],RANDBETWEEN(1,ROWS(tRealFM[Apellido2])))</f>
        <v>1995</v>
      </c>
      <c r="D20" s="8" t="str" cm="1">
        <f t="array" aca="1" ref="D20" ca="1">INDEX(tRealFM[clubFórmula],RANDBETWEEN(1,ROWS(tRealFM[Apellido2])))</f>
        <v>Club Natación SOS Bétera</v>
      </c>
      <c r="E20" s="9">
        <f>tRealFM[[#This Row],[Tiempo1]]</f>
        <v>0.16895833333333332</v>
      </c>
      <c r="F20" s="9" t="str">
        <f>_xlfn.LET(
    _xlpm.k, tRealFM[[#This Row],[Tiempo2]],
    IF(_xlpm.k="", "", _xlpm.k)
  )</f>
        <v/>
      </c>
      <c r="G20" s="10">
        <f>_xlfn.LET(
    _xlpm.k, tRealFM[[#This Row],[Puntos]],
    IF(_xlpm.k="", "", _xlpm.k)
  )</f>
        <v>10</v>
      </c>
      <c r="H2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1" spans="1:8" x14ac:dyDescent="0.2">
      <c r="A21" s="8">
        <v>18</v>
      </c>
      <c r="B21" s="8" t="str" cm="1">
        <f t="array" aca="1" ref="B2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AGUADO LAGUILLO, SORAYA</v>
      </c>
      <c r="C21" s="8" cm="1">
        <f t="array" aca="1" ref="C21" ca="1">INDEX(tRealFM[Año],RANDBETWEEN(1,ROWS(tRealFM[Apellido2])))</f>
        <v>1969</v>
      </c>
      <c r="D21" s="8" t="str" cm="1">
        <f t="array" aca="1" ref="D21" ca="1">INDEX(tRealFM[clubFórmula],RANDBETWEEN(1,ROWS(tRealFM[Apellido2])))</f>
        <v>Loredo Surf Life Saving</v>
      </c>
      <c r="E21" s="9">
        <f>tRealFM[[#This Row],[Tiempo1]]</f>
        <v>0.11716435185185185</v>
      </c>
      <c r="F21" s="9" t="str">
        <f>_xlfn.LET(
    _xlpm.k, tRealFM[[#This Row],[Tiempo2]],
    IF(_xlpm.k="", "", _xlpm.k)
  )</f>
        <v/>
      </c>
      <c r="G21" s="10">
        <f>_xlfn.LET(
    _xlpm.k, tRealFM[[#This Row],[Puntos]],
    IF(_xlpm.k="", "", _xlpm.k)
  )</f>
        <v>20</v>
      </c>
      <c r="H2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22" spans="1:8" x14ac:dyDescent="0.2">
      <c r="A22" s="8">
        <v>19</v>
      </c>
      <c r="B22" s="8" t="str" cm="1">
        <f t="array" aca="1" ref="B2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NEGREIRA GARCÍA, ANA</v>
      </c>
      <c r="C22" s="8" cm="1">
        <f t="array" aca="1" ref="C22" ca="1">INDEX(tRealFM[Año],RANDBETWEEN(1,ROWS(tRealFM[Apellido2])))</f>
        <v>1968</v>
      </c>
      <c r="D22" s="8" t="str" cm="1">
        <f t="array" aca="1" ref="D22" ca="1">INDEX(tRealFM[clubFórmula],RANDBETWEEN(1,ROWS(tRealFM[Apellido2])))</f>
        <v>C.D.E Pacífico Salvamento</v>
      </c>
      <c r="E22" s="9">
        <f>tRealFM[[#This Row],[Tiempo1]]</f>
        <v>0.12038194444444444</v>
      </c>
      <c r="F22" s="9" t="str">
        <f>_xlfn.LET(
    _xlpm.k, tRealFM[[#This Row],[Tiempo2]],
    IF(_xlpm.k="", "", _xlpm.k)
  )</f>
        <v/>
      </c>
      <c r="G22" s="10">
        <f>_xlfn.LET(
    _xlpm.k, tRealFM[[#This Row],[Puntos]],
    IF(_xlpm.k="", "", _xlpm.k)
  )</f>
        <v>18</v>
      </c>
      <c r="H2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3" spans="1:8" x14ac:dyDescent="0.2">
      <c r="A23" s="8">
        <v>20</v>
      </c>
      <c r="B23" s="8" t="str" cm="1">
        <f t="array" aca="1" ref="B2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MARTÍNEZ SANTIAGO, YOLANDA</v>
      </c>
      <c r="C23" s="8" cm="1">
        <f t="array" aca="1" ref="C23" ca="1">INDEX(tRealFM[Año],RANDBETWEEN(1,ROWS(tRealFM[Apellido2])))</f>
        <v>1987</v>
      </c>
      <c r="D23" s="8" t="str" cm="1">
        <f t="array" aca="1" ref="D23" ca="1">INDEX(tRealFM[clubFórmula],RANDBETWEEN(1,ROWS(tRealFM[Apellido2])))</f>
        <v>Club Natació Reus Ploms</v>
      </c>
      <c r="E23" s="9">
        <f>tRealFM[[#This Row],[Tiempo1]]</f>
        <v>0.12377314814814815</v>
      </c>
      <c r="F23" s="9" t="str">
        <f>_xlfn.LET(
    _xlpm.k, tRealFM[[#This Row],[Tiempo2]],
    IF(_xlpm.k="", "", _xlpm.k)
  )</f>
        <v/>
      </c>
      <c r="G23" s="10">
        <f>_xlfn.LET(
    _xlpm.k, tRealFM[[#This Row],[Puntos]],
    IF(_xlpm.k="", "", _xlpm.k)
  )</f>
        <v>16</v>
      </c>
      <c r="H2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4" spans="1:8" x14ac:dyDescent="0.2">
      <c r="A24" s="8">
        <v>21</v>
      </c>
      <c r="B24" s="8" t="str" cm="1">
        <f t="array" aca="1" ref="B2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REVILLA VICARIO, MIRIAM</v>
      </c>
      <c r="C24" s="8" cm="1">
        <f t="array" aca="1" ref="C24" ca="1">INDEX(tRealFM[Año],RANDBETWEEN(1,ROWS(tRealFM[Apellido2])))</f>
        <v>1966</v>
      </c>
      <c r="D24" s="8" t="str" cm="1">
        <f t="array" aca="1" ref="D24" ca="1">INDEX(tRealFM[clubFórmula],RANDBETWEEN(1,ROWS(tRealFM[Apellido2])))</f>
        <v>C.D 27 Grados</v>
      </c>
      <c r="E24" s="9">
        <f>tRealFM[[#This Row],[Tiempo1]]</f>
        <v>0.12682870370370369</v>
      </c>
      <c r="F24" s="9" t="str">
        <f>_xlfn.LET(
    _xlpm.k, tRealFM[[#This Row],[Tiempo2]],
    IF(_xlpm.k="", "", _xlpm.k)
  )</f>
        <v/>
      </c>
      <c r="G24" s="10">
        <f>_xlfn.LET(
    _xlpm.k, tRealFM[[#This Row],[Puntos]],
    IF(_xlpm.k="", "", _xlpm.k)
  )</f>
        <v>14</v>
      </c>
      <c r="H2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5" spans="1:8" x14ac:dyDescent="0.2">
      <c r="A25" s="8">
        <v>22</v>
      </c>
      <c r="B25" s="8" t="str" cm="1">
        <f t="array" aca="1" ref="B2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TELLO GARCIA, MARTA</v>
      </c>
      <c r="C25" s="8" cm="1">
        <f t="array" aca="1" ref="C25" ca="1">INDEX(tRealFM[Año],RANDBETWEEN(1,ROWS(tRealFM[Apellido2])))</f>
        <v>1966</v>
      </c>
      <c r="D25" s="8" t="str" cm="1">
        <f t="array" aca="1" ref="D25" ca="1">INDEX(tRealFM[clubFórmula],RANDBETWEEN(1,ROWS(tRealFM[Apellido2])))</f>
        <v>Club Natación Martiánez Coral Hotels</v>
      </c>
      <c r="E25" s="9">
        <f>tRealFM[[#This Row],[Tiempo1]]</f>
        <v>0.12718750000000001</v>
      </c>
      <c r="F25" s="9" t="str">
        <f>_xlfn.LET(
    _xlpm.k, tRealFM[[#This Row],[Tiempo2]],
    IF(_xlpm.k="", "", _xlpm.k)
  )</f>
        <v/>
      </c>
      <c r="G25" s="10">
        <f>_xlfn.LET(
    _xlpm.k, tRealFM[[#This Row],[Puntos]],
    IF(_xlpm.k="", "", _xlpm.k)
  )</f>
        <v>13</v>
      </c>
      <c r="H2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6" spans="1:8" x14ac:dyDescent="0.2">
      <c r="A26" s="8">
        <v>23</v>
      </c>
      <c r="B26" s="8" t="str" cm="1">
        <f t="array" aca="1" ref="B2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SALINAS MARTINEZ, MARIA</v>
      </c>
      <c r="C26" s="8" cm="1">
        <f t="array" aca="1" ref="C26" ca="1">INDEX(tRealFM[Año],RANDBETWEEN(1,ROWS(tRealFM[Apellido2])))</f>
        <v>1972</v>
      </c>
      <c r="D26" s="8" t="str" cm="1">
        <f t="array" aca="1" ref="D26" ca="1">INDEX(tRealFM[clubFórmula],RANDBETWEEN(1,ROWS(tRealFM[Apellido2])))</f>
        <v>Escuela Salvamento Almendralejo</v>
      </c>
      <c r="E26" s="9">
        <f>tRealFM[[#This Row],[Tiempo1]]</f>
        <v>0.12916666666666668</v>
      </c>
      <c r="F26" s="9" t="str">
        <f>_xlfn.LET(
    _xlpm.k, tRealFM[[#This Row],[Tiempo2]],
    IF(_xlpm.k="", "", _xlpm.k)
  )</f>
        <v/>
      </c>
      <c r="G26" s="10">
        <f>_xlfn.LET(
    _xlpm.k, tRealFM[[#This Row],[Puntos]],
    IF(_xlpm.k="", "", _xlpm.k)
  )</f>
        <v>12</v>
      </c>
      <c r="H2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7" spans="1:8" x14ac:dyDescent="0.2">
      <c r="A27" s="8">
        <v>24</v>
      </c>
      <c r="B27" s="8" t="str" cm="1">
        <f t="array" aca="1" ref="B2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CABERO DE ALBA, FATIMA</v>
      </c>
      <c r="C27" s="8" cm="1">
        <f t="array" aca="1" ref="C27" ca="1">INDEX(tRealFM[Año],RANDBETWEEN(1,ROWS(tRealFM[Apellido2])))</f>
        <v>1991</v>
      </c>
      <c r="D27" s="8" t="str" cm="1">
        <f t="array" aca="1" ref="D27" ca="1">INDEX(tRealFM[clubFórmula],RANDBETWEEN(1,ROWS(tRealFM[Apellido2])))</f>
        <v>Club Natación y Salvamento Albasit</v>
      </c>
      <c r="E27" s="9">
        <f>tRealFM[[#This Row],[Tiempo1]]</f>
        <v>0.13847222222222222</v>
      </c>
      <c r="F27" s="9" t="str">
        <f>_xlfn.LET(
    _xlpm.k, tRealFM[[#This Row],[Tiempo2]],
    IF(_xlpm.k="", "", _xlpm.k)
  )</f>
        <v/>
      </c>
      <c r="G27" s="10">
        <f>_xlfn.LET(
    _xlpm.k, tRealFM[[#This Row],[Puntos]],
    IF(_xlpm.k="", "", _xlpm.k)
  )</f>
        <v>11</v>
      </c>
      <c r="H2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28" spans="1:8" x14ac:dyDescent="0.2">
      <c r="A28" s="8">
        <v>25</v>
      </c>
      <c r="B28" s="8" t="str" cm="1">
        <f t="array" aca="1" ref="B2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IZQUIERDO GIL, MERITXELL</v>
      </c>
      <c r="C28" s="8" cm="1">
        <f t="array" aca="1" ref="C28" ca="1">INDEX(tRealFM[Año],RANDBETWEEN(1,ROWS(tRealFM[Apellido2])))</f>
        <v>1975</v>
      </c>
      <c r="D28" s="8" t="str" cm="1">
        <f t="array" aca="1" ref="D28" ca="1">INDEX(tRealFM[clubFórmula],RANDBETWEEN(1,ROWS(tRealFM[Apellido2])))</f>
        <v>Club Salvamento y Socorrismo Carballo - SYSCA</v>
      </c>
      <c r="E28" s="9">
        <f>tRealFM[[#This Row],[Tiempo1]]</f>
        <v>0.1491550925925926</v>
      </c>
      <c r="F28" s="9" t="str">
        <f>_xlfn.LET(
    _xlpm.k, tRealFM[[#This Row],[Tiempo2]],
    IF(_xlpm.k="", "", _xlpm.k)
  )</f>
        <v/>
      </c>
      <c r="G28" s="10">
        <f>_xlfn.LET(
    _xlpm.k, tRealFM[[#This Row],[Puntos]],
    IF(_xlpm.k="", "", _xlpm.k)
  )</f>
        <v>10</v>
      </c>
      <c r="H2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9" spans="1:8" x14ac:dyDescent="0.2">
      <c r="A29" s="8">
        <v>26</v>
      </c>
      <c r="B29" s="8" t="str" cm="1">
        <f t="array" aca="1" ref="B2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CASTELLANOS ALVAREZ, BLANCA</v>
      </c>
      <c r="C29" s="8" cm="1">
        <f t="array" aca="1" ref="C29" ca="1">INDEX(tRealFM[Año],RANDBETWEEN(1,ROWS(tRealFM[Apellido2])))</f>
        <v>1964</v>
      </c>
      <c r="D29" s="8" t="str" cm="1">
        <f t="array" aca="1" ref="D29" ca="1">INDEX(tRealFM[clubFórmula],RANDBETWEEN(1,ROWS(tRealFM[Apellido2])))</f>
        <v>Club Natació Reus Ploms</v>
      </c>
      <c r="E29" s="9">
        <f>tRealFM[[#This Row],[Tiempo1]]</f>
        <v>0.10696759259259259</v>
      </c>
      <c r="F29" s="9" t="str">
        <f>_xlfn.LET(
    _xlpm.k, tRealFM[[#This Row],[Tiempo2]],
    IF(_xlpm.k="", "", _xlpm.k)
  )</f>
        <v/>
      </c>
      <c r="G29" s="10">
        <f>_xlfn.LET(
    _xlpm.k, tRealFM[[#This Row],[Puntos]],
    IF(_xlpm.k="", "", _xlpm.k)
  )</f>
        <v>20</v>
      </c>
      <c r="H2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30" spans="1:8" x14ac:dyDescent="0.2">
      <c r="A30" s="8">
        <v>27</v>
      </c>
      <c r="B30" s="8" t="str" cm="1">
        <f t="array" aca="1" ref="B3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TELLO MARTÍN, KATIHUSCA</v>
      </c>
      <c r="C30" s="8" cm="1">
        <f t="array" aca="1" ref="C30" ca="1">INDEX(tRealFM[Año],RANDBETWEEN(1,ROWS(tRealFM[Apellido2])))</f>
        <v>1975</v>
      </c>
      <c r="D30" s="8" t="str" cm="1">
        <f t="array" aca="1" ref="D30" ca="1">INDEX(tRealFM[clubFórmula],RANDBETWEEN(1,ROWS(tRealFM[Apellido2])))</f>
        <v>Natación RACE</v>
      </c>
      <c r="E30" s="9">
        <f>tRealFM[[#This Row],[Tiempo1]]</f>
        <v>0.11134259259259259</v>
      </c>
      <c r="F30" s="9" t="str">
        <f>_xlfn.LET(
    _xlpm.k, tRealFM[[#This Row],[Tiempo2]],
    IF(_xlpm.k="", "", _xlpm.k)
  )</f>
        <v/>
      </c>
      <c r="G30" s="10">
        <f>_xlfn.LET(
    _xlpm.k, tRealFM[[#This Row],[Puntos]],
    IF(_xlpm.k="", "", _xlpm.k)
  )</f>
        <v>18</v>
      </c>
      <c r="H3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1" spans="1:8" x14ac:dyDescent="0.2">
      <c r="A31" s="8">
        <v>28</v>
      </c>
      <c r="B31" s="8" t="str" cm="1">
        <f t="array" aca="1" ref="B3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MONCHO PADILLA, MARIA REMEDIOS</v>
      </c>
      <c r="C31" s="8" cm="1">
        <f t="array" aca="1" ref="C31" ca="1">INDEX(tRealFM[Año],RANDBETWEEN(1,ROWS(tRealFM[Apellido2])))</f>
        <v>1970</v>
      </c>
      <c r="D31" s="8" t="str" cm="1">
        <f t="array" aca="1" ref="D31" ca="1">INDEX(tRealFM[clubFórmula],RANDBETWEEN(1,ROWS(tRealFM[Apellido2])))</f>
        <v>Natación RACE Baja</v>
      </c>
      <c r="E31" s="9">
        <f>tRealFM[[#This Row],[Tiempo1]]</f>
        <v>0.11714120370370371</v>
      </c>
      <c r="F31" s="9" t="str">
        <f>_xlfn.LET(
    _xlpm.k, tRealFM[[#This Row],[Tiempo2]],
    IF(_xlpm.k="", "", _xlpm.k)
  )</f>
        <v/>
      </c>
      <c r="G31" s="10">
        <f>_xlfn.LET(
    _xlpm.k, tRealFM[[#This Row],[Puntos]],
    IF(_xlpm.k="", "", _xlpm.k)
  )</f>
        <v>16</v>
      </c>
      <c r="H3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2" spans="1:8" x14ac:dyDescent="0.2">
      <c r="A32" s="8">
        <v>29</v>
      </c>
      <c r="B32" s="8" t="str" cm="1">
        <f t="array" aca="1" ref="B3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PASTOR RAMIREZ, EMMA</v>
      </c>
      <c r="C32" s="8" cm="1">
        <f t="array" aca="1" ref="C32" ca="1">INDEX(tRealFM[Año],RANDBETWEEN(1,ROWS(tRealFM[Apellido2])))</f>
        <v>1965</v>
      </c>
      <c r="D32" s="8" t="str" cm="1">
        <f t="array" aca="1" ref="D32" ca="1">INDEX(tRealFM[clubFórmula],RANDBETWEEN(1,ROWS(tRealFM[Apellido2])))</f>
        <v>Club A.C.N. Marisma</v>
      </c>
      <c r="E32" s="9">
        <f>tRealFM[[#This Row],[Tiempo1]]</f>
        <v>0.11896990740740741</v>
      </c>
      <c r="F32" s="9" t="str">
        <f>_xlfn.LET(
    _xlpm.k, tRealFM[[#This Row],[Tiempo2]],
    IF(_xlpm.k="", "", _xlpm.k)
  )</f>
        <v/>
      </c>
      <c r="G32" s="10">
        <f>_xlfn.LET(
    _xlpm.k, tRealFM[[#This Row],[Puntos]],
    IF(_xlpm.k="", "", _xlpm.k)
  )</f>
        <v>14</v>
      </c>
      <c r="H3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3" spans="1:8" x14ac:dyDescent="0.2">
      <c r="A33" s="8">
        <v>30</v>
      </c>
      <c r="B33" s="8" t="str" cm="1">
        <f t="array" aca="1" ref="B3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GUTIERREZ, CARMEN</v>
      </c>
      <c r="C33" s="8" cm="1">
        <f t="array" aca="1" ref="C33" ca="1">INDEX(tRealFM[Año],RANDBETWEEN(1,ROWS(tRealFM[Apellido2])))</f>
        <v>1971</v>
      </c>
      <c r="D33" s="8" t="str" cm="1">
        <f t="array" aca="1" ref="D33" ca="1">INDEX(tRealFM[clubFórmula],RANDBETWEEN(1,ROWS(tRealFM[Apellido2])))</f>
        <v>Club Salvamento y Socorrismo Carballo - SYSCA</v>
      </c>
      <c r="E33" s="9">
        <f>tRealFM[[#This Row],[Tiempo1]]</f>
        <v>0.1208449074074074</v>
      </c>
      <c r="F33" s="9" t="str">
        <f>_xlfn.LET(
    _xlpm.k, tRealFM[[#This Row],[Tiempo2]],
    IF(_xlpm.k="", "", _xlpm.k)
  )</f>
        <v/>
      </c>
      <c r="G33" s="10">
        <f>_xlfn.LET(
    _xlpm.k, tRealFM[[#This Row],[Puntos]],
    IF(_xlpm.k="", "", _xlpm.k)
  )</f>
        <v>13</v>
      </c>
      <c r="H3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4" spans="1:8" x14ac:dyDescent="0.2">
      <c r="A34" s="8">
        <v>31</v>
      </c>
      <c r="B34" s="8" t="str" cm="1">
        <f t="array" aca="1" ref="B3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MARTÍNEZ LOPEZ, ANA MARIA</v>
      </c>
      <c r="C34" s="8" cm="1">
        <f t="array" aca="1" ref="C34" ca="1">INDEX(tRealFM[Año],RANDBETWEEN(1,ROWS(tRealFM[Apellido2])))</f>
        <v>1982</v>
      </c>
      <c r="D34" s="8" t="str" cm="1">
        <f t="array" aca="1" ref="D34" ca="1">INDEX(tRealFM[clubFórmula],RANDBETWEEN(1,ROWS(tRealFM[Apellido2])))</f>
        <v>Club Deportivo Sirenas de Catarroja</v>
      </c>
      <c r="E34" s="9">
        <f>tRealFM[[#This Row],[Tiempo1]]</f>
        <v>0.12168981481481482</v>
      </c>
      <c r="F34" s="9" t="str">
        <f>_xlfn.LET(
    _xlpm.k, tRealFM[[#This Row],[Tiempo2]],
    IF(_xlpm.k="", "", _xlpm.k)
  )</f>
        <v/>
      </c>
      <c r="G34" s="10">
        <f>_xlfn.LET(
    _xlpm.k, tRealFM[[#This Row],[Puntos]],
    IF(_xlpm.k="", "", _xlpm.k)
  )</f>
        <v>12</v>
      </c>
      <c r="H3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5" spans="1:8" x14ac:dyDescent="0.2">
      <c r="A35" s="8">
        <v>32</v>
      </c>
      <c r="B35" s="8" t="str" cm="1">
        <f t="array" aca="1" ref="B3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CHACON MAYO, ANA</v>
      </c>
      <c r="C35" s="8" cm="1">
        <f t="array" aca="1" ref="C35" ca="1">INDEX(tRealFM[Año],RANDBETWEEN(1,ROWS(tRealFM[Apellido2])))</f>
        <v>1980</v>
      </c>
      <c r="D35" s="8" t="str" cm="1">
        <f t="array" aca="1" ref="D35" ca="1">INDEX(tRealFM[clubFórmula],RANDBETWEEN(1,ROWS(tRealFM[Apellido2])))</f>
        <v>Natación RACE</v>
      </c>
      <c r="E35" s="9">
        <f>tRealFM[[#This Row],[Tiempo1]]</f>
        <v>0.12188657407407408</v>
      </c>
      <c r="F35" s="9" t="str">
        <f>_xlfn.LET(
    _xlpm.k, tRealFM[[#This Row],[Tiempo2]],
    IF(_xlpm.k="", "", _xlpm.k)
  )</f>
        <v/>
      </c>
      <c r="G35" s="10">
        <f>_xlfn.LET(
    _xlpm.k, tRealFM[[#This Row],[Puntos]],
    IF(_xlpm.k="", "", _xlpm.k)
  )</f>
        <v>11</v>
      </c>
      <c r="H3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6" spans="1:8" x14ac:dyDescent="0.2">
      <c r="A36" s="8">
        <v>33</v>
      </c>
      <c r="B36" s="8" t="str" cm="1">
        <f t="array" aca="1" ref="B3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LARA, EVA MARIA</v>
      </c>
      <c r="C36" s="8" cm="1">
        <f t="array" aca="1" ref="C36" ca="1">INDEX(tRealFM[Año],RANDBETWEEN(1,ROWS(tRealFM[Apellido2])))</f>
        <v>1994</v>
      </c>
      <c r="D36" s="8" t="str" cm="1">
        <f t="array" aca="1" ref="D36" ca="1">INDEX(tRealFM[clubFórmula],RANDBETWEEN(1,ROWS(tRealFM[Apellido2])))</f>
        <v>Club Natació Reus Ploms</v>
      </c>
      <c r="E36" s="9">
        <f>tRealFM[[#This Row],[Tiempo1]]</f>
        <v>0.12600694444444444</v>
      </c>
      <c r="F36" s="9" t="str">
        <f>_xlfn.LET(
    _xlpm.k, tRealFM[[#This Row],[Tiempo2]],
    IF(_xlpm.k="", "", _xlpm.k)
  )</f>
        <v/>
      </c>
      <c r="G36" s="10">
        <f>_xlfn.LET(
    _xlpm.k, tRealFM[[#This Row],[Puntos]],
    IF(_xlpm.k="", "", _xlpm.k)
  )</f>
        <v>10</v>
      </c>
      <c r="H3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7" spans="1:8" x14ac:dyDescent="0.2">
      <c r="A37" s="8">
        <v>34</v>
      </c>
      <c r="B37" s="8" t="str" cm="1">
        <f t="array" aca="1" ref="B3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GASCÓ JARVIS, MARTA</v>
      </c>
      <c r="C37" s="8" cm="1">
        <f t="array" aca="1" ref="C37" ca="1">INDEX(tRealFM[Año],RANDBETWEEN(1,ROWS(tRealFM[Apellido2])))</f>
        <v>1967</v>
      </c>
      <c r="D37" s="8" t="str" cm="1">
        <f t="array" aca="1" ref="D37" ca="1">INDEX(tRealFM[clubFórmula],RANDBETWEEN(1,ROWS(tRealFM[Apellido2])))</f>
        <v>Club Natación SOS Bétera</v>
      </c>
      <c r="E37" s="9">
        <f>tRealFM[[#This Row],[Tiempo1]]</f>
        <v>0.12861111111111112</v>
      </c>
      <c r="F37" s="9" t="str">
        <f>_xlfn.LET(
    _xlpm.k, tRealFM[[#This Row],[Tiempo2]],
    IF(_xlpm.k="", "", _xlpm.k)
  )</f>
        <v/>
      </c>
      <c r="G37" s="10">
        <f>_xlfn.LET(
    _xlpm.k, tRealFM[[#This Row],[Puntos]],
    IF(_xlpm.k="", "", _xlpm.k)
  )</f>
        <v>8</v>
      </c>
      <c r="H3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8" spans="1:8" x14ac:dyDescent="0.2">
      <c r="A38" s="8">
        <v>35</v>
      </c>
      <c r="B38" s="8" t="str" cm="1">
        <f t="array" aca="1" ref="B3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LOPEZ ROMERO, BEGOÑA</v>
      </c>
      <c r="C38" s="8" cm="1">
        <f t="array" aca="1" ref="C38" ca="1">INDEX(tRealFM[Año],RANDBETWEEN(1,ROWS(tRealFM[Apellido2])))</f>
        <v>1985</v>
      </c>
      <c r="D38" s="8" t="str" cm="1">
        <f t="array" aca="1" ref="D38" ca="1">INDEX(tRealFM[clubFórmula],RANDBETWEEN(1,ROWS(tRealFM[Apellido2])))</f>
        <v>Escuela Salvamento Almendralejo</v>
      </c>
      <c r="E38" s="9">
        <f>tRealFM[[#This Row],[Tiempo1]]</f>
        <v>0.12945601851851851</v>
      </c>
      <c r="F38" s="9" t="str">
        <f>_xlfn.LET(
    _xlpm.k, tRealFM[[#This Row],[Tiempo2]],
    IF(_xlpm.k="", "", _xlpm.k)
  )</f>
        <v/>
      </c>
      <c r="G38" s="10">
        <f>_xlfn.LET(
    _xlpm.k, tRealFM[[#This Row],[Puntos]],
    IF(_xlpm.k="", "", _xlpm.k)
  )</f>
        <v>7</v>
      </c>
      <c r="H3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9" spans="1:8" x14ac:dyDescent="0.2">
      <c r="A39" s="8">
        <v>36</v>
      </c>
      <c r="B39" s="8" t="str" cm="1">
        <f t="array" aca="1" ref="B3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ALVAREZ PAREDES, MAR</v>
      </c>
      <c r="C39" s="8" cm="1">
        <f t="array" aca="1" ref="C39" ca="1">INDEX(tRealFM[Año],RANDBETWEEN(1,ROWS(tRealFM[Apellido2])))</f>
        <v>1967</v>
      </c>
      <c r="D39" s="8" t="str" cm="1">
        <f t="array" aca="1" ref="D39" ca="1">INDEX(tRealFM[clubFórmula],RANDBETWEEN(1,ROWS(tRealFM[Apellido2])))</f>
        <v>C.D.E Máster Arganda</v>
      </c>
      <c r="E39" s="9">
        <f>tRealFM[[#This Row],[Tiempo1]]</f>
        <v>0.13181712962962963</v>
      </c>
      <c r="F39" s="9" t="str">
        <f>_xlfn.LET(
    _xlpm.k, tRealFM[[#This Row],[Tiempo2]],
    IF(_xlpm.k="", "", _xlpm.k)
  )</f>
        <v/>
      </c>
      <c r="G39" s="10">
        <f>_xlfn.LET(
    _xlpm.k, tRealFM[[#This Row],[Puntos]],
    IF(_xlpm.k="", "", _xlpm.k)
  )</f>
        <v>6</v>
      </c>
      <c r="H3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0" spans="1:8" x14ac:dyDescent="0.2">
      <c r="A40" s="8">
        <v>37</v>
      </c>
      <c r="B40" s="8" t="str" cm="1">
        <f t="array" aca="1" ref="B4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CUESTA ALFAGEME, PATRICIA</v>
      </c>
      <c r="C40" s="8" cm="1">
        <f t="array" aca="1" ref="C40" ca="1">INDEX(tRealFM[Año],RANDBETWEEN(1,ROWS(tRealFM[Apellido2])))</f>
        <v>1978</v>
      </c>
      <c r="D40" s="8" t="str" cm="1">
        <f t="array" aca="1" ref="D40" ca="1">INDEX(tRealFM[clubFórmula],RANDBETWEEN(1,ROWS(tRealFM[Apellido2])))</f>
        <v>Club Deportivo Oca S.O.S</v>
      </c>
      <c r="E40" s="9">
        <f>tRealFM[[#This Row],[Tiempo1]]</f>
        <v>0.13495370370370371</v>
      </c>
      <c r="F40" s="9" t="str">
        <f>_xlfn.LET(
    _xlpm.k, tRealFM[[#This Row],[Tiempo2]],
    IF(_xlpm.k="", "", _xlpm.k)
  )</f>
        <v/>
      </c>
      <c r="G40" s="10">
        <f>_xlfn.LET(
    _xlpm.k, tRealFM[[#This Row],[Puntos]],
    IF(_xlpm.k="", "", _xlpm.k)
  )</f>
        <v>5</v>
      </c>
      <c r="H4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1" spans="1:8" x14ac:dyDescent="0.2">
      <c r="A41" s="8">
        <v>38</v>
      </c>
      <c r="B41" s="8" t="str" cm="1">
        <f t="array" aca="1" ref="B4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GONZALEZ GUINJOAN, CARMEN</v>
      </c>
      <c r="C41" s="8" cm="1">
        <f t="array" aca="1" ref="C41" ca="1">INDEX(tRealFM[Año],RANDBETWEEN(1,ROWS(tRealFM[Apellido2])))</f>
        <v>1974</v>
      </c>
      <c r="D41" s="8" t="str" cm="1">
        <f t="array" aca="1" ref="D41" ca="1">INDEX(tRealFM[clubFórmula],RANDBETWEEN(1,ROWS(tRealFM[Apellido2])))</f>
        <v>C.D.E Máster Arganda</v>
      </c>
      <c r="E41" s="9">
        <f>tRealFM[[#This Row],[Tiempo1]]</f>
        <v>0.13903935185185184</v>
      </c>
      <c r="F41" s="9" t="str">
        <f>_xlfn.LET(
    _xlpm.k, tRealFM[[#This Row],[Tiempo2]],
    IF(_xlpm.k="", "", _xlpm.k)
  )</f>
        <v/>
      </c>
      <c r="G41" s="10">
        <f>_xlfn.LET(
    _xlpm.k, tRealFM[[#This Row],[Puntos]],
    IF(_xlpm.k="", "", _xlpm.k)
  )</f>
        <v>4</v>
      </c>
      <c r="H4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2" spans="1:8" x14ac:dyDescent="0.2">
      <c r="A42" s="8">
        <v>39</v>
      </c>
      <c r="B42" s="8" t="str" cm="1">
        <f t="array" aca="1" ref="B4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VICENTE PADILLA, EVA</v>
      </c>
      <c r="C42" s="8" cm="1">
        <f t="array" aca="1" ref="C42" ca="1">INDEX(tRealFM[Año],RANDBETWEEN(1,ROWS(tRealFM[Apellido2])))</f>
        <v>1975</v>
      </c>
      <c r="D42" s="8" t="str" cm="1">
        <f t="array" aca="1" ref="D42" ca="1">INDEX(tRealFM[clubFórmula],RANDBETWEEN(1,ROWS(tRealFM[Apellido2])))</f>
        <v>Natación RACE</v>
      </c>
      <c r="E42" s="9">
        <f>tRealFM[[#This Row],[Tiempo1]]</f>
        <v>0.14930555555555555</v>
      </c>
      <c r="F42" s="9" t="str">
        <f>_xlfn.LET(
    _xlpm.k, tRealFM[[#This Row],[Tiempo2]],
    IF(_xlpm.k="", "", _xlpm.k)
  )</f>
        <v/>
      </c>
      <c r="G42" s="10">
        <f>_xlfn.LET(
    _xlpm.k, tRealFM[[#This Row],[Puntos]],
    IF(_xlpm.k="", "", _xlpm.k)
  )</f>
        <v>3</v>
      </c>
      <c r="H4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3" spans="1:8" x14ac:dyDescent="0.2">
      <c r="A43" s="8">
        <v>40</v>
      </c>
      <c r="B43" s="8" t="str" cm="1">
        <f t="array" aca="1" ref="B4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ANDRADE VICARIO, AMAIA</v>
      </c>
      <c r="C43" s="8" cm="1">
        <f t="array" aca="1" ref="C43" ca="1">INDEX(tRealFM[Año],RANDBETWEEN(1,ROWS(tRealFM[Apellido2])))</f>
        <v>1971</v>
      </c>
      <c r="D43" s="8" t="str" cm="1">
        <f t="array" aca="1" ref="D43" ca="1">INDEX(tRealFM[clubFórmula],RANDBETWEEN(1,ROWS(tRealFM[Apellido2])))</f>
        <v>Club Natació Reus Ploms</v>
      </c>
      <c r="E43" s="9">
        <f>tRealFM[[#This Row],[Tiempo1]]</f>
        <v>0.16017361111111111</v>
      </c>
      <c r="F43" s="9" t="str">
        <f>_xlfn.LET(
    _xlpm.k, tRealFM[[#This Row],[Tiempo2]],
    IF(_xlpm.k="", "", _xlpm.k)
  )</f>
        <v/>
      </c>
      <c r="G43" s="10">
        <f>_xlfn.LET(
    _xlpm.k, tRealFM[[#This Row],[Puntos]],
    IF(_xlpm.k="", "", _xlpm.k)
  )</f>
        <v>2</v>
      </c>
      <c r="H4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4" spans="1:8" x14ac:dyDescent="0.2">
      <c r="A44" s="8">
        <v>41</v>
      </c>
      <c r="B44" s="8" t="str" cm="1">
        <f t="array" aca="1" ref="B4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CABERO LIZ, CRISTINA</v>
      </c>
      <c r="C44" s="8" cm="1">
        <f t="array" aca="1" ref="C44" ca="1">INDEX(tRealFM[Año],RANDBETWEEN(1,ROWS(tRealFM[Apellido2])))</f>
        <v>1972</v>
      </c>
      <c r="D44" s="8" t="str" cm="1">
        <f t="array" aca="1" ref="D44" ca="1">INDEX(tRealFM[clubFórmula],RANDBETWEEN(1,ROWS(tRealFM[Apellido2])))</f>
        <v>Club Deportivo Oca S.O.S</v>
      </c>
      <c r="E44" s="9">
        <f>tRealFM[[#This Row],[Tiempo1]]</f>
        <v>0.16045138888888888</v>
      </c>
      <c r="F44" s="9" t="str">
        <f>_xlfn.LET(
    _xlpm.k, tRealFM[[#This Row],[Tiempo2]],
    IF(_xlpm.k="", "", _xlpm.k)
  )</f>
        <v/>
      </c>
      <c r="G44" s="10">
        <f>_xlfn.LET(
    _xlpm.k, tRealFM[[#This Row],[Puntos]],
    IF(_xlpm.k="", "", _xlpm.k)
  )</f>
        <v>1</v>
      </c>
      <c r="H4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5" spans="1:8" x14ac:dyDescent="0.2">
      <c r="A45" s="8">
        <v>42</v>
      </c>
      <c r="B45" s="8" t="str" cm="1">
        <f t="array" aca="1" ref="B4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ARTIDIELLO LUNA, MARINA</v>
      </c>
      <c r="C45" s="8" cm="1">
        <f t="array" aca="1" ref="C45" ca="1">INDEX(tRealFM[Año],RANDBETWEEN(1,ROWS(tRealFM[Apellido2])))</f>
        <v>1969</v>
      </c>
      <c r="D45" s="8" t="str" cm="1">
        <f t="array" aca="1" ref="D45" ca="1">INDEX(tRealFM[clubFórmula],RANDBETWEEN(1,ROWS(tRealFM[Apellido2])))</f>
        <v>Club Natació Reus Ploms</v>
      </c>
      <c r="E45" s="9">
        <f>tRealFM[[#This Row],[Tiempo1]]</f>
        <v>0.16083333333333333</v>
      </c>
      <c r="F45" s="9" t="str">
        <f>_xlfn.LET(
    _xlpm.k, tRealFM[[#This Row],[Tiempo2]],
    IF(_xlpm.k="", "", _xlpm.k)
  )</f>
        <v/>
      </c>
      <c r="G45" s="10" t="str">
        <f>_xlfn.LET(
    _xlpm.k, tRealFM[[#This Row],[Puntos]],
    IF(_xlpm.k="", "", _xlpm.k)
  )</f>
        <v/>
      </c>
      <c r="H4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6" spans="1:8" x14ac:dyDescent="0.2">
      <c r="A46" s="8">
        <v>43</v>
      </c>
      <c r="B46" s="8" t="str" cm="1">
        <f t="array" aca="1" ref="B4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PEREZ GARCIA, ESTER</v>
      </c>
      <c r="C46" s="8" cm="1">
        <f t="array" aca="1" ref="C46" ca="1">INDEX(tRealFM[Año],RANDBETWEEN(1,ROWS(tRealFM[Apellido2])))</f>
        <v>1948</v>
      </c>
      <c r="D46" s="8" t="str" cm="1">
        <f t="array" aca="1" ref="D46" ca="1">INDEX(tRealFM[clubFórmula],RANDBETWEEN(1,ROWS(tRealFM[Apellido2])))</f>
        <v>Loredo Surf Life Saving</v>
      </c>
      <c r="E46" s="9">
        <f>tRealFM[[#This Row],[Tiempo1]]</f>
        <v>0.16306712962962963</v>
      </c>
      <c r="F46" s="9" t="str">
        <f>_xlfn.LET(
    _xlpm.k, tRealFM[[#This Row],[Tiempo2]],
    IF(_xlpm.k="", "", _xlpm.k)
  )</f>
        <v/>
      </c>
      <c r="G46" s="10" t="str">
        <f>_xlfn.LET(
    _xlpm.k, tRealFM[[#This Row],[Puntos]],
    IF(_xlpm.k="", "", _xlpm.k)
  )</f>
        <v/>
      </c>
      <c r="H4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7" spans="1:8" x14ac:dyDescent="0.2">
      <c r="A47" s="8">
        <v>44</v>
      </c>
      <c r="B47" s="8" t="str" cm="1">
        <f t="array" aca="1" ref="B4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IÑIGUEZ PICAZO, BEATRIZ</v>
      </c>
      <c r="C47" s="8" cm="1">
        <f t="array" aca="1" ref="C47" ca="1">INDEX(tRealFM[Año],RANDBETWEEN(1,ROWS(tRealFM[Apellido2])))</f>
        <v>1974</v>
      </c>
      <c r="D47" s="8" t="str" cm="1">
        <f t="array" aca="1" ref="D47" ca="1">INDEX(tRealFM[clubFórmula],RANDBETWEEN(1,ROWS(tRealFM[Apellido2])))</f>
        <v>C.D.E Máster Arganda</v>
      </c>
      <c r="E47" s="9">
        <f>tRealFM[[#This Row],[Tiempo1]]</f>
        <v>0.17605324074074075</v>
      </c>
      <c r="F47" s="9" t="str">
        <f>_xlfn.LET(
    _xlpm.k, tRealFM[[#This Row],[Tiempo2]],
    IF(_xlpm.k="", "", _xlpm.k)
  )</f>
        <v/>
      </c>
      <c r="G47" s="10" t="str">
        <f>_xlfn.LET(
    _xlpm.k, tRealFM[[#This Row],[Puntos]],
    IF(_xlpm.k="", "", _xlpm.k)
  )</f>
        <v/>
      </c>
      <c r="H4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8" spans="1:8" x14ac:dyDescent="0.2">
      <c r="A48" s="8">
        <v>45</v>
      </c>
      <c r="B48" s="8" t="str" cm="1">
        <f t="array" aca="1" ref="B4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MÍGUEZ TARRERO, ELENA</v>
      </c>
      <c r="C48" s="8" cm="1">
        <f t="array" aca="1" ref="C48" ca="1">INDEX(tRealFM[Año],RANDBETWEEN(1,ROWS(tRealFM[Apellido2])))</f>
        <v>1980</v>
      </c>
      <c r="D48" s="8" t="str" cm="1">
        <f t="array" aca="1" ref="D48" ca="1">INDEX(tRealFM[clubFórmula],RANDBETWEEN(1,ROWS(tRealFM[Apellido2])))</f>
        <v>Club Deportivo Oca S.O.S</v>
      </c>
      <c r="E48" s="9" t="str">
        <f>tRealFM[[#This Row],[Tiempo1]]</f>
        <v>Baja</v>
      </c>
      <c r="F48" s="9" t="str">
        <f>_xlfn.LET(
    _xlpm.k, tRealFM[[#This Row],[Tiempo2]],
    IF(_xlpm.k="", "", _xlpm.k)
  )</f>
        <v/>
      </c>
      <c r="G48" s="10" t="str">
        <f>_xlfn.LET(
    _xlpm.k, tRealFM[[#This Row],[Puntos]],
    IF(_xlpm.k="", "", _xlpm.k)
  )</f>
        <v/>
      </c>
      <c r="H4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9" spans="1:8" x14ac:dyDescent="0.2">
      <c r="A49" s="8">
        <v>46</v>
      </c>
      <c r="B49" s="8" t="str" cm="1">
        <f t="array" aca="1" ref="B4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CHACON DIAZ, MERITXELL</v>
      </c>
      <c r="C49" s="8" cm="1">
        <f t="array" aca="1" ref="C49" ca="1">INDEX(tRealFM[Año],RANDBETWEEN(1,ROWS(tRealFM[Apellido2])))</f>
        <v>1976</v>
      </c>
      <c r="D49" s="8" t="str" cm="1">
        <f t="array" aca="1" ref="D49" ca="1">INDEX(tRealFM[clubFórmula],RANDBETWEEN(1,ROWS(tRealFM[Apellido2])))</f>
        <v>Club Salvamento Los Locos</v>
      </c>
      <c r="E49" s="9">
        <f>tRealFM[[#This Row],[Tiempo1]]</f>
        <v>0.11591435185185185</v>
      </c>
      <c r="F49" s="9" t="str">
        <f>_xlfn.LET(
    _xlpm.k, tRealFM[[#This Row],[Tiempo2]],
    IF(_xlpm.k="", "", _xlpm.k)
  )</f>
        <v/>
      </c>
      <c r="G49" s="10">
        <f>_xlfn.LET(
    _xlpm.k, tRealFM[[#This Row],[Puntos]],
    IF(_xlpm.k="", "", _xlpm.k)
  )</f>
        <v>20</v>
      </c>
      <c r="H4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0" spans="1:8" x14ac:dyDescent="0.2">
      <c r="A50" s="8">
        <v>47</v>
      </c>
      <c r="B50" s="8" t="str" cm="1">
        <f t="array" aca="1" ref="B5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RODRIGUEZ AGUEROS, NURIA</v>
      </c>
      <c r="C50" s="8" cm="1">
        <f t="array" aca="1" ref="C50" ca="1">INDEX(tRealFM[Año],RANDBETWEEN(1,ROWS(tRealFM[Apellido2])))</f>
        <v>1963</v>
      </c>
      <c r="D50" s="8" t="str" cm="1">
        <f t="array" aca="1" ref="D50" ca="1">INDEX(tRealFM[clubFórmula],RANDBETWEEN(1,ROWS(tRealFM[Apellido2])))</f>
        <v>Loredo Surf Life Saving</v>
      </c>
      <c r="E50" s="9">
        <f>tRealFM[[#This Row],[Tiempo1]]</f>
        <v>0.11642361111111112</v>
      </c>
      <c r="F50" s="9" t="str">
        <f>_xlfn.LET(
    _xlpm.k, tRealFM[[#This Row],[Tiempo2]],
    IF(_xlpm.k="", "", _xlpm.k)
  )</f>
        <v/>
      </c>
      <c r="G50" s="10">
        <f>_xlfn.LET(
    _xlpm.k, tRealFM[[#This Row],[Puntos]],
    IF(_xlpm.k="", "", _xlpm.k)
  )</f>
        <v>18</v>
      </c>
      <c r="H5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1" spans="1:8" x14ac:dyDescent="0.2">
      <c r="A51" s="8">
        <v>48</v>
      </c>
      <c r="B51" s="8" t="str" cm="1">
        <f t="array" aca="1" ref="B5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JURADO-SALMERON, MARIA JESUS</v>
      </c>
      <c r="C51" s="8" cm="1">
        <f t="array" aca="1" ref="C51" ca="1">INDEX(tRealFM[Año],RANDBETWEEN(1,ROWS(tRealFM[Apellido2])))</f>
        <v>1979</v>
      </c>
      <c r="D51" s="8" t="str" cm="1">
        <f t="array" aca="1" ref="D51" ca="1">INDEX(tRealFM[clubFórmula],RANDBETWEEN(1,ROWS(tRealFM[Apellido2])))</f>
        <v>Natación RACE</v>
      </c>
      <c r="E51" s="9">
        <f>tRealFM[[#This Row],[Tiempo1]]</f>
        <v>0.11755787037037037</v>
      </c>
      <c r="F51" s="9" t="str">
        <f>_xlfn.LET(
    _xlpm.k, tRealFM[[#This Row],[Tiempo2]],
    IF(_xlpm.k="", "", _xlpm.k)
  )</f>
        <v/>
      </c>
      <c r="G51" s="10">
        <f>_xlfn.LET(
    _xlpm.k, tRealFM[[#This Row],[Puntos]],
    IF(_xlpm.k="", "", _xlpm.k)
  )</f>
        <v>16</v>
      </c>
      <c r="H5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2" spans="1:8" x14ac:dyDescent="0.2">
      <c r="A52" s="8">
        <v>49</v>
      </c>
      <c r="B52" s="8" t="str" cm="1">
        <f t="array" aca="1" ref="B5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BALSA SANCHEZ, MARIA</v>
      </c>
      <c r="C52" s="8" cm="1">
        <f t="array" aca="1" ref="C52" ca="1">INDEX(tRealFM[Año],RANDBETWEEN(1,ROWS(tRealFM[Apellido2])))</f>
        <v>1980</v>
      </c>
      <c r="D52" s="8" t="str" cm="1">
        <f t="array" aca="1" ref="D52" ca="1">INDEX(tRealFM[clubFórmula],RANDBETWEEN(1,ROWS(tRealFM[Apellido2])))</f>
        <v>Natación RACE Baja</v>
      </c>
      <c r="E52" s="9">
        <f>tRealFM[[#This Row],[Tiempo1]]</f>
        <v>0.12782407407407406</v>
      </c>
      <c r="F52" s="9" t="str">
        <f>_xlfn.LET(
    _xlpm.k, tRealFM[[#This Row],[Tiempo2]],
    IF(_xlpm.k="", "", _xlpm.k)
  )</f>
        <v/>
      </c>
      <c r="G52" s="10">
        <f>_xlfn.LET(
    _xlpm.k, tRealFM[[#This Row],[Puntos]],
    IF(_xlpm.k="", "", _xlpm.k)
  )</f>
        <v>14</v>
      </c>
      <c r="H5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3" spans="1:8" x14ac:dyDescent="0.2">
      <c r="A53" s="8">
        <v>50</v>
      </c>
      <c r="B53" s="8" t="str" cm="1">
        <f t="array" aca="1" ref="B5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ROMERA, MARÍA VICTORIA</v>
      </c>
      <c r="C53" s="8" cm="1">
        <f t="array" aca="1" ref="C53" ca="1">INDEX(tRealFM[Año],RANDBETWEEN(1,ROWS(tRealFM[Apellido2])))</f>
        <v>1969</v>
      </c>
      <c r="D53" s="8" t="str" cm="1">
        <f t="array" aca="1" ref="D53" ca="1">INDEX(tRealFM[clubFórmula],RANDBETWEEN(1,ROWS(tRealFM[Apellido2])))</f>
        <v>Club Leucante</v>
      </c>
      <c r="E53" s="9">
        <f>tRealFM[[#This Row],[Tiempo1]]</f>
        <v>0.12880787037037036</v>
      </c>
      <c r="F53" s="9" t="str">
        <f>_xlfn.LET(
    _xlpm.k, tRealFM[[#This Row],[Tiempo2]],
    IF(_xlpm.k="", "", _xlpm.k)
  )</f>
        <v/>
      </c>
      <c r="G53" s="10">
        <f>_xlfn.LET(
    _xlpm.k, tRealFM[[#This Row],[Puntos]],
    IF(_xlpm.k="", "", _xlpm.k)
  )</f>
        <v>13</v>
      </c>
      <c r="H5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4" spans="1:8" x14ac:dyDescent="0.2">
      <c r="A54" s="8">
        <v>51</v>
      </c>
      <c r="B54" s="8" t="str" cm="1">
        <f t="array" aca="1" ref="B5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TRUNIN MARTIN, SORAYA</v>
      </c>
      <c r="C54" s="8" cm="1">
        <f t="array" aca="1" ref="C54" ca="1">INDEX(tRealFM[Año],RANDBETWEEN(1,ROWS(tRealFM[Apellido2])))</f>
        <v>1983</v>
      </c>
      <c r="D54" s="8" t="str" cm="1">
        <f t="array" aca="1" ref="D54" ca="1">INDEX(tRealFM[clubFórmula],RANDBETWEEN(1,ROWS(tRealFM[Apellido2])))</f>
        <v>Natación RACE</v>
      </c>
      <c r="E54" s="9">
        <f>tRealFM[[#This Row],[Tiempo1]]</f>
        <v>0.13547453703703705</v>
      </c>
      <c r="F54" s="9" t="str">
        <f>_xlfn.LET(
    _xlpm.k, tRealFM[[#This Row],[Tiempo2]],
    IF(_xlpm.k="", "", _xlpm.k)
  )</f>
        <v/>
      </c>
      <c r="G54" s="10">
        <f>_xlfn.LET(
    _xlpm.k, tRealFM[[#This Row],[Puntos]],
    IF(_xlpm.k="", "", _xlpm.k)
  )</f>
        <v>12</v>
      </c>
      <c r="H5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5" spans="1:8" x14ac:dyDescent="0.2">
      <c r="A55" s="8">
        <v>52</v>
      </c>
      <c r="B55" s="8" t="str" cm="1">
        <f t="array" aca="1" ref="B5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LAGE DE ALBA, AMAIA</v>
      </c>
      <c r="C55" s="8" cm="1">
        <f t="array" aca="1" ref="C55" ca="1">INDEX(tRealFM[Año],RANDBETWEEN(1,ROWS(tRealFM[Apellido2])))</f>
        <v>1985</v>
      </c>
      <c r="D55" s="8" t="str" cm="1">
        <f t="array" aca="1" ref="D55" ca="1">INDEX(tRealFM[clubFórmula],RANDBETWEEN(1,ROWS(tRealFM[Apellido2])))</f>
        <v>Natación RACE</v>
      </c>
      <c r="E55" s="9">
        <f>tRealFM[[#This Row],[Tiempo1]]</f>
        <v>0.13953703703703704</v>
      </c>
      <c r="F55" s="9" t="str">
        <f>_xlfn.LET(
    _xlpm.k, tRealFM[[#This Row],[Tiempo2]],
    IF(_xlpm.k="", "", _xlpm.k)
  )</f>
        <v/>
      </c>
      <c r="G55" s="10">
        <f>_xlfn.LET(
    _xlpm.k, tRealFM[[#This Row],[Puntos]],
    IF(_xlpm.k="", "", _xlpm.k)
  )</f>
        <v>11</v>
      </c>
      <c r="H5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6" spans="1:8" x14ac:dyDescent="0.2">
      <c r="A56" s="8">
        <v>53</v>
      </c>
      <c r="B56" s="8" t="str" cm="1">
        <f t="array" aca="1" ref="B5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YAHYIOUI TRILLO, ELENA</v>
      </c>
      <c r="C56" s="8" cm="1">
        <f t="array" aca="1" ref="C56" ca="1">INDEX(tRealFM[Año],RANDBETWEEN(1,ROWS(tRealFM[Apellido2])))</f>
        <v>1983</v>
      </c>
      <c r="D56" s="8" t="str" cm="1">
        <f t="array" aca="1" ref="D56" ca="1">INDEX(tRealFM[clubFórmula],RANDBETWEEN(1,ROWS(tRealFM[Apellido2])))</f>
        <v>Club Deportivo Sirenas de Catarroja</v>
      </c>
      <c r="E56" s="9">
        <f>tRealFM[[#This Row],[Tiempo1]]</f>
        <v>0.14078703703703704</v>
      </c>
      <c r="F56" s="9" t="str">
        <f>_xlfn.LET(
    _xlpm.k, tRealFM[[#This Row],[Tiempo2]],
    IF(_xlpm.k="", "", _xlpm.k)
  )</f>
        <v/>
      </c>
      <c r="G56" s="10">
        <f>_xlfn.LET(
    _xlpm.k, tRealFM[[#This Row],[Puntos]],
    IF(_xlpm.k="", "", _xlpm.k)
  )</f>
        <v>10</v>
      </c>
      <c r="H5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7" spans="1:8" x14ac:dyDescent="0.2">
      <c r="A57" s="8">
        <v>54</v>
      </c>
      <c r="B57" s="8" t="str" cm="1">
        <f t="array" aca="1" ref="B5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CAPLLONCH ROMERO, GEMA</v>
      </c>
      <c r="C57" s="8" cm="1">
        <f t="array" aca="1" ref="C57" ca="1">INDEX(tRealFM[Año],RANDBETWEEN(1,ROWS(tRealFM[Apellido2])))</f>
        <v>1976</v>
      </c>
      <c r="D57" s="8" t="str" cm="1">
        <f t="array" aca="1" ref="D57" ca="1">INDEX(tRealFM[clubFórmula],RANDBETWEEN(1,ROWS(tRealFM[Apellido2])))</f>
        <v>Club Natación SOS Bétera</v>
      </c>
      <c r="E57" s="9">
        <f>tRealFM[[#This Row],[Tiempo1]]</f>
        <v>0.14143518518518519</v>
      </c>
      <c r="F57" s="9" t="str">
        <f>_xlfn.LET(
    _xlpm.k, tRealFM[[#This Row],[Tiempo2]],
    IF(_xlpm.k="", "", _xlpm.k)
  )</f>
        <v/>
      </c>
      <c r="G57" s="10">
        <f>_xlfn.LET(
    _xlpm.k, tRealFM[[#This Row],[Puntos]],
    IF(_xlpm.k="", "", _xlpm.k)
  )</f>
        <v>8</v>
      </c>
      <c r="H5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8" spans="1:8" x14ac:dyDescent="0.2">
      <c r="A58" s="8">
        <v>55</v>
      </c>
      <c r="B58" s="8" t="str" cm="1">
        <f t="array" aca="1" ref="B5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SOPESENS PICAZO, ESTER</v>
      </c>
      <c r="C58" s="8" cm="1">
        <f t="array" aca="1" ref="C58" ca="1">INDEX(tRealFM[Año],RANDBETWEEN(1,ROWS(tRealFM[Apellido2])))</f>
        <v>1966</v>
      </c>
      <c r="D58" s="8" t="str" cm="1">
        <f t="array" aca="1" ref="D58" ca="1">INDEX(tRealFM[clubFórmula],RANDBETWEEN(1,ROWS(tRealFM[Apellido2])))</f>
        <v>Club Deportivo Sirenas de Catarroja</v>
      </c>
      <c r="E58" s="9">
        <f>tRealFM[[#This Row],[Tiempo1]]</f>
        <v>0.14384259259259261</v>
      </c>
      <c r="F58" s="9" t="str">
        <f>_xlfn.LET(
    _xlpm.k, tRealFM[[#This Row],[Tiempo2]],
    IF(_xlpm.k="", "", _xlpm.k)
  )</f>
        <v/>
      </c>
      <c r="G58" s="10">
        <f>_xlfn.LET(
    _xlpm.k, tRealFM[[#This Row],[Puntos]],
    IF(_xlpm.k="", "", _xlpm.k)
  )</f>
        <v>7</v>
      </c>
      <c r="H5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9" spans="1:8" x14ac:dyDescent="0.2">
      <c r="A59" s="8">
        <v>56</v>
      </c>
      <c r="B59" s="8" t="str" cm="1">
        <f t="array" aca="1" ref="B5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LARA, LEYRE</v>
      </c>
      <c r="C59" s="8" cm="1">
        <f t="array" aca="1" ref="C59" ca="1">INDEX(tRealFM[Año],RANDBETWEEN(1,ROWS(tRealFM[Apellido2])))</f>
        <v>1970</v>
      </c>
      <c r="D59" s="8" t="str" cm="1">
        <f t="array" aca="1" ref="D59" ca="1">INDEX(tRealFM[clubFórmula],RANDBETWEEN(1,ROWS(tRealFM[Apellido2])))</f>
        <v>Natación RACE</v>
      </c>
      <c r="E59" s="9">
        <f>tRealFM[[#This Row],[Tiempo1]]</f>
        <v>0.14387731481481481</v>
      </c>
      <c r="F59" s="9" t="str">
        <f>_xlfn.LET(
    _xlpm.k, tRealFM[[#This Row],[Tiempo2]],
    IF(_xlpm.k="", "", _xlpm.k)
  )</f>
        <v/>
      </c>
      <c r="G59" s="10">
        <f>_xlfn.LET(
    _xlpm.k, tRealFM[[#This Row],[Puntos]],
    IF(_xlpm.k="", "", _xlpm.k)
  )</f>
        <v>6</v>
      </c>
      <c r="H5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0" spans="1:8" x14ac:dyDescent="0.2">
      <c r="A60" s="8">
        <v>57</v>
      </c>
      <c r="B60" s="8" t="str" cm="1">
        <f t="array" aca="1" ref="B6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DIEZ SANCHEZ, NOELIA</v>
      </c>
      <c r="C60" s="8" cm="1">
        <f t="array" aca="1" ref="C60" ca="1">INDEX(tRealFM[Año],RANDBETWEEN(1,ROWS(tRealFM[Apellido2])))</f>
        <v>1982</v>
      </c>
      <c r="D60" s="8" t="str" cm="1">
        <f t="array" aca="1" ref="D60" ca="1">INDEX(tRealFM[clubFórmula],RANDBETWEEN(1,ROWS(tRealFM[Apellido2])))</f>
        <v>Club Natación y Salvamento Albasit</v>
      </c>
      <c r="E60" s="9">
        <f>tRealFM[[#This Row],[Tiempo1]]</f>
        <v>0.15078703703703702</v>
      </c>
      <c r="F60" s="9" t="str">
        <f>_xlfn.LET(
    _xlpm.k, tRealFM[[#This Row],[Tiempo2]],
    IF(_xlpm.k="", "", _xlpm.k)
  )</f>
        <v/>
      </c>
      <c r="G60" s="10">
        <f>_xlfn.LET(
    _xlpm.k, tRealFM[[#This Row],[Puntos]],
    IF(_xlpm.k="", "", _xlpm.k)
  )</f>
        <v>5</v>
      </c>
      <c r="H6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1" spans="1:8" x14ac:dyDescent="0.2">
      <c r="A61" s="8">
        <v>58</v>
      </c>
      <c r="B61" s="8" t="str" cm="1">
        <f t="array" aca="1" ref="B6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ESPARCIA ARAUJO, MARIA TERESA</v>
      </c>
      <c r="C61" s="8" cm="1">
        <f t="array" aca="1" ref="C61" ca="1">INDEX(tRealFM[Año],RANDBETWEEN(1,ROWS(tRealFM[Apellido2])))</f>
        <v>1970</v>
      </c>
      <c r="D61" s="8" t="str" cm="1">
        <f t="array" aca="1" ref="D61" ca="1">INDEX(tRealFM[clubFórmula],RANDBETWEEN(1,ROWS(tRealFM[Apellido2])))</f>
        <v>C.D.E Pacífico Salvamento</v>
      </c>
      <c r="E61" s="9">
        <f>tRealFM[[#This Row],[Tiempo1]]</f>
        <v>0.15217592592592594</v>
      </c>
      <c r="F61" s="9" t="str">
        <f>_xlfn.LET(
    _xlpm.k, tRealFM[[#This Row],[Tiempo2]],
    IF(_xlpm.k="", "", _xlpm.k)
  )</f>
        <v/>
      </c>
      <c r="G61" s="10" t="str">
        <f>_xlfn.LET(
    _xlpm.k, tRealFM[[#This Row],[Puntos]],
    IF(_xlpm.k="", "", _xlpm.k)
  )</f>
        <v/>
      </c>
      <c r="H6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2" spans="1:8" x14ac:dyDescent="0.2">
      <c r="A62" s="8">
        <v>59</v>
      </c>
      <c r="B62" s="8" t="str" cm="1">
        <f t="array" aca="1" ref="B6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EL GHMARI JURADO-SALMERON, SONIA</v>
      </c>
      <c r="C62" s="8" cm="1">
        <f t="array" aca="1" ref="C62" ca="1">INDEX(tRealFM[Año],RANDBETWEEN(1,ROWS(tRealFM[Apellido2])))</f>
        <v>1978</v>
      </c>
      <c r="D62" s="8" t="str" cm="1">
        <f t="array" aca="1" ref="D62" ca="1">INDEX(tRealFM[clubFórmula],RANDBETWEEN(1,ROWS(tRealFM[Apellido2])))</f>
        <v>Alcarreño de Salvamento y Socorrismo</v>
      </c>
      <c r="E62" s="9">
        <f>tRealFM[[#This Row],[Tiempo1]]</f>
        <v>0.15277777777777779</v>
      </c>
      <c r="F62" s="9" t="str">
        <f>_xlfn.LET(
    _xlpm.k, tRealFM[[#This Row],[Tiempo2]],
    IF(_xlpm.k="", "", _xlpm.k)
  )</f>
        <v/>
      </c>
      <c r="G62" s="10">
        <f>_xlfn.LET(
    _xlpm.k, tRealFM[[#This Row],[Puntos]],
    IF(_xlpm.k="", "", _xlpm.k)
  )</f>
        <v>3</v>
      </c>
      <c r="H6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3" spans="1:8" x14ac:dyDescent="0.2">
      <c r="A63" s="8">
        <v>60</v>
      </c>
      <c r="B63" s="8" t="str" cm="1">
        <f t="array" aca="1" ref="B6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PAREJA GARCIA, YOLANDA</v>
      </c>
      <c r="C63" s="8" cm="1">
        <f t="array" aca="1" ref="C63" ca="1">INDEX(tRealFM[Año],RANDBETWEEN(1,ROWS(tRealFM[Apellido2])))</f>
        <v>1966</v>
      </c>
      <c r="D63" s="8" t="str" cm="1">
        <f t="array" aca="1" ref="D63" ca="1">INDEX(tRealFM[clubFórmula],RANDBETWEEN(1,ROWS(tRealFM[Apellido2])))</f>
        <v>C.D.E Pacífico Salvamento</v>
      </c>
      <c r="E63" s="9">
        <f>tRealFM[[#This Row],[Tiempo1]]</f>
        <v>0.15324074074074073</v>
      </c>
      <c r="F63" s="9" t="str">
        <f>_xlfn.LET(
    _xlpm.k, tRealFM[[#This Row],[Tiempo2]],
    IF(_xlpm.k="", "", _xlpm.k)
  )</f>
        <v/>
      </c>
      <c r="G63" s="10">
        <f>_xlfn.LET(
    _xlpm.k, tRealFM[[#This Row],[Puntos]],
    IF(_xlpm.k="", "", _xlpm.k)
  )</f>
        <v>2</v>
      </c>
      <c r="H6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64" spans="1:8" x14ac:dyDescent="0.2">
      <c r="A64" s="8">
        <v>61</v>
      </c>
      <c r="B64" s="8" t="str" cm="1">
        <f t="array" aca="1" ref="B6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JIMENEZ ROMERO, MARIA JESUS</v>
      </c>
      <c r="C64" s="8" cm="1">
        <f t="array" aca="1" ref="C64" ca="1">INDEX(tRealFM[Año],RANDBETWEEN(1,ROWS(tRealFM[Apellido2])))</f>
        <v>1981</v>
      </c>
      <c r="D64" s="8" t="str" cm="1">
        <f t="array" aca="1" ref="D64" ca="1">INDEX(tRealFM[clubFórmula],RANDBETWEEN(1,ROWS(tRealFM[Apellido2])))</f>
        <v>Club Deportivo Oca S.O.S</v>
      </c>
      <c r="E64" s="9">
        <f>tRealFM[[#This Row],[Tiempo1]]</f>
        <v>0.15372685185185186</v>
      </c>
      <c r="F64" s="9" t="str">
        <f>_xlfn.LET(
    _xlpm.k, tRealFM[[#This Row],[Tiempo2]],
    IF(_xlpm.k="", "", _xlpm.k)
  )</f>
        <v/>
      </c>
      <c r="G64" s="10">
        <f>_xlfn.LET(
    _xlpm.k, tRealFM[[#This Row],[Puntos]],
    IF(_xlpm.k="", "", _xlpm.k)
  )</f>
        <v>1</v>
      </c>
      <c r="H6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5" spans="1:8" x14ac:dyDescent="0.2">
      <c r="A65" s="8">
        <v>62</v>
      </c>
      <c r="B65" s="8" t="str" cm="1">
        <f t="array" aca="1" ref="B6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MARTINEZ GARCIA, NAZARET</v>
      </c>
      <c r="C65" s="8" cm="1">
        <f t="array" aca="1" ref="C65" ca="1">INDEX(tRealFM[Año],RANDBETWEEN(1,ROWS(tRealFM[Apellido2])))</f>
        <v>1970</v>
      </c>
      <c r="D65" s="8" t="str" cm="1">
        <f t="array" aca="1" ref="D65" ca="1">INDEX(tRealFM[clubFórmula],RANDBETWEEN(1,ROWS(tRealFM[Apellido2])))</f>
        <v>Club Salvamento y Socorrismo Carballo - SYSCA</v>
      </c>
      <c r="E65" s="9">
        <f>tRealFM[[#This Row],[Tiempo1]]</f>
        <v>0.1585300925925926</v>
      </c>
      <c r="F65" s="9" t="str">
        <f>_xlfn.LET(
    _xlpm.k, tRealFM[[#This Row],[Tiempo2]],
    IF(_xlpm.k="", "", _xlpm.k)
  )</f>
        <v/>
      </c>
      <c r="G65" s="10" t="str">
        <f>_xlfn.LET(
    _xlpm.k, tRealFM[[#This Row],[Puntos]],
    IF(_xlpm.k="", "", _xlpm.k)
  )</f>
        <v/>
      </c>
      <c r="H6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6" spans="1:8" x14ac:dyDescent="0.2">
      <c r="A66" s="8">
        <v>63</v>
      </c>
      <c r="B66" s="8" t="str" cm="1">
        <f t="array" aca="1" ref="B6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CAMPOS LARA, ANNA</v>
      </c>
      <c r="C66" s="8" cm="1">
        <f t="array" aca="1" ref="C66" ca="1">INDEX(tRealFM[Año],RANDBETWEEN(1,ROWS(tRealFM[Apellido2])))</f>
        <v>1975</v>
      </c>
      <c r="D66" s="8" t="str" cm="1">
        <f t="array" aca="1" ref="D66" ca="1">INDEX(tRealFM[clubFórmula],RANDBETWEEN(1,ROWS(tRealFM[Apellido2])))</f>
        <v>Club Actividades Acuáticas Calatayud</v>
      </c>
      <c r="E66" s="9">
        <f>tRealFM[[#This Row],[Tiempo1]]</f>
        <v>0.16552083333333334</v>
      </c>
      <c r="F66" s="9" t="str">
        <f>_xlfn.LET(
    _xlpm.k, tRealFM[[#This Row],[Tiempo2]],
    IF(_xlpm.k="", "", _xlpm.k)
  )</f>
        <v/>
      </c>
      <c r="G66" s="10" t="str">
        <f>_xlfn.LET(
    _xlpm.k, tRealFM[[#This Row],[Puntos]],
    IF(_xlpm.k="", "", _xlpm.k)
  )</f>
        <v/>
      </c>
      <c r="H6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7" spans="1:8" x14ac:dyDescent="0.2">
      <c r="A67" s="8">
        <v>64</v>
      </c>
      <c r="B67" s="8" t="str" cm="1">
        <f t="array" aca="1" ref="B6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GARCÍA GUILLEN, NAZARET</v>
      </c>
      <c r="C67" s="8" cm="1">
        <f t="array" aca="1" ref="C67" ca="1">INDEX(tRealFM[Año],RANDBETWEEN(1,ROWS(tRealFM[Apellido2])))</f>
        <v>1975</v>
      </c>
      <c r="D67" s="8" t="str" cm="1">
        <f t="array" aca="1" ref="D67" ca="1">INDEX(tRealFM[clubFórmula],RANDBETWEEN(1,ROWS(tRealFM[Apellido2])))</f>
        <v>Club Salvamento Los Locos</v>
      </c>
      <c r="E67" s="9">
        <f>tRealFM[[#This Row],[Tiempo1]]</f>
        <v>0.17148148148148148</v>
      </c>
      <c r="F67" s="9" t="str">
        <f>_xlfn.LET(
    _xlpm.k, tRealFM[[#This Row],[Tiempo2]],
    IF(_xlpm.k="", "", _xlpm.k)
  )</f>
        <v/>
      </c>
      <c r="G67" s="10" t="str">
        <f>_xlfn.LET(
    _xlpm.k, tRealFM[[#This Row],[Puntos]],
    IF(_xlpm.k="", "", _xlpm.k)
  )</f>
        <v/>
      </c>
      <c r="H6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68" spans="1:8" x14ac:dyDescent="0.2">
      <c r="A68" s="8">
        <v>65</v>
      </c>
      <c r="B68" s="8" t="str" cm="1">
        <f t="array" aca="1" ref="B6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PIÑAN DIAZ, MARIA TERESA</v>
      </c>
      <c r="C68" s="8" cm="1">
        <f t="array" aca="1" ref="C68" ca="1">INDEX(tRealFM[Año],RANDBETWEEN(1,ROWS(tRealFM[Apellido2])))</f>
        <v>1966</v>
      </c>
      <c r="D68" s="8" t="str" cm="1">
        <f t="array" aca="1" ref="D68" ca="1">INDEX(tRealFM[clubFórmula],RANDBETWEEN(1,ROWS(tRealFM[Apellido2])))</f>
        <v>Club Salvamento Sada - SASA</v>
      </c>
      <c r="E68" s="9">
        <f>tRealFM[[#This Row],[Tiempo1]]</f>
        <v>0.17494212962962963</v>
      </c>
      <c r="F68" s="9" t="str">
        <f>_xlfn.LET(
    _xlpm.k, tRealFM[[#This Row],[Tiempo2]],
    IF(_xlpm.k="", "", _xlpm.k)
  )</f>
        <v/>
      </c>
      <c r="G68" s="10" t="str">
        <f>_xlfn.LET(
    _xlpm.k, tRealFM[[#This Row],[Puntos]],
    IF(_xlpm.k="", "", _xlpm.k)
  )</f>
        <v/>
      </c>
      <c r="H6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9" spans="1:8" x14ac:dyDescent="0.2">
      <c r="A69" s="8">
        <v>66</v>
      </c>
      <c r="B69" s="8" t="str" cm="1">
        <f t="array" aca="1" ref="B6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NEGREIRA SANTOS, SARA</v>
      </c>
      <c r="C69" s="8" cm="1">
        <f t="array" aca="1" ref="C69" ca="1">INDEX(tRealFM[Año],RANDBETWEEN(1,ROWS(tRealFM[Apellido2])))</f>
        <v>1969</v>
      </c>
      <c r="D69" s="8" t="str" cm="1">
        <f t="array" aca="1" ref="D69" ca="1">INDEX(tRealFM[clubFórmula],RANDBETWEEN(1,ROWS(tRealFM[Apellido2])))</f>
        <v>Club A.C.N. Marisma</v>
      </c>
      <c r="E69" s="9">
        <f>tRealFM[[#This Row],[Tiempo1]]</f>
        <v>0.17940972222222223</v>
      </c>
      <c r="F69" s="9" t="str">
        <f>_xlfn.LET(
    _xlpm.k, tRealFM[[#This Row],[Tiempo2]],
    IF(_xlpm.k="", "", _xlpm.k)
  )</f>
        <v/>
      </c>
      <c r="G69" s="10" t="str">
        <f>_xlfn.LET(
    _xlpm.k, tRealFM[[#This Row],[Puntos]],
    IF(_xlpm.k="", "", _xlpm.k)
  )</f>
        <v/>
      </c>
      <c r="H6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0" spans="1:8" x14ac:dyDescent="0.2">
      <c r="A70" s="8">
        <v>67</v>
      </c>
      <c r="B70" s="8" t="str" cm="1">
        <f t="array" aca="1" ref="B7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INIESTA JURADO-SALMERON, MARÍA VICTORIA</v>
      </c>
      <c r="C70" s="8" cm="1">
        <f t="array" aca="1" ref="C70" ca="1">INDEX(tRealFM[Año],RANDBETWEEN(1,ROWS(tRealFM[Apellido2])))</f>
        <v>1972</v>
      </c>
      <c r="D70" s="8" t="str" cm="1">
        <f t="array" aca="1" ref="D70" ca="1">INDEX(tRealFM[clubFórmula],RANDBETWEEN(1,ROWS(tRealFM[Apellido2])))</f>
        <v>Club Natació Reus Ploms</v>
      </c>
      <c r="E70" s="9">
        <f>tRealFM[[#This Row],[Tiempo1]]</f>
        <v>0.18975694444444444</v>
      </c>
      <c r="F70" s="9" t="str">
        <f>_xlfn.LET(
    _xlpm.k, tRealFM[[#This Row],[Tiempo2]],
    IF(_xlpm.k="", "", _xlpm.k)
  )</f>
        <v/>
      </c>
      <c r="G70" s="10" t="str">
        <f>_xlfn.LET(
    _xlpm.k, tRealFM[[#This Row],[Puntos]],
    IF(_xlpm.k="", "", _xlpm.k)
  )</f>
        <v/>
      </c>
      <c r="H7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1" spans="1:8" x14ac:dyDescent="0.2">
      <c r="A71" s="8">
        <v>68</v>
      </c>
      <c r="B71" s="8" t="str" cm="1">
        <f t="array" aca="1" ref="B7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COSTA FERNANDEZ, MARIA VICTORIA</v>
      </c>
      <c r="C71" s="8" cm="1">
        <f t="array" aca="1" ref="C71" ca="1">INDEX(tRealFM[Año],RANDBETWEEN(1,ROWS(tRealFM[Apellido2])))</f>
        <v>1980</v>
      </c>
      <c r="D71" s="8" t="str" cm="1">
        <f t="array" aca="1" ref="D71" ca="1">INDEX(tRealFM[clubFórmula],RANDBETWEEN(1,ROWS(tRealFM[Apellido2])))</f>
        <v>Natación RACE Baja</v>
      </c>
      <c r="E71" s="9" t="str">
        <f>tRealFM[[#This Row],[Tiempo1]]</f>
        <v>Baja</v>
      </c>
      <c r="F71" s="9" t="str">
        <f>_xlfn.LET(
    _xlpm.k, tRealFM[[#This Row],[Tiempo2]],
    IF(_xlpm.k="", "", _xlpm.k)
  )</f>
        <v/>
      </c>
      <c r="G71" s="10" t="str">
        <f>_xlfn.LET(
    _xlpm.k, tRealFM[[#This Row],[Puntos]],
    IF(_xlpm.k="", "", _xlpm.k)
  )</f>
        <v/>
      </c>
      <c r="H7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2" spans="1:8" x14ac:dyDescent="0.2">
      <c r="A72" s="8">
        <v>69</v>
      </c>
      <c r="B72" s="8" t="str" cm="1">
        <f t="array" aca="1" ref="B7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GARCIA CAPARROS, MARIA ANGELES</v>
      </c>
      <c r="C72" s="8" cm="1">
        <f t="array" aca="1" ref="C72" ca="1">INDEX(tRealFM[Año],RANDBETWEEN(1,ROWS(tRealFM[Apellido2])))</f>
        <v>1978</v>
      </c>
      <c r="D72" s="8" t="str" cm="1">
        <f t="array" aca="1" ref="D72" ca="1">INDEX(tRealFM[clubFórmula],RANDBETWEEN(1,ROWS(tRealFM[Apellido2])))</f>
        <v>Club Natación y Salvamento Albasit</v>
      </c>
      <c r="E72" s="9">
        <f>tRealFM[[#This Row],[Tiempo1]]</f>
        <v>0</v>
      </c>
      <c r="F72" s="9" t="str">
        <f>_xlfn.LET(
    _xlpm.k, tRealFM[[#This Row],[Tiempo2]],
    IF(_xlpm.k="", "", _xlpm.k)
  )</f>
        <v/>
      </c>
      <c r="G72" s="10" t="str">
        <f>_xlfn.LET(
    _xlpm.k, tRealFM[[#This Row],[Puntos]],
    IF(_xlpm.k="", "", _xlpm.k)
  )</f>
        <v/>
      </c>
      <c r="H7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3" spans="1:8" x14ac:dyDescent="0.2">
      <c r="A73" s="8">
        <v>70</v>
      </c>
      <c r="B73" s="8" t="str" cm="1">
        <f t="array" aca="1" ref="B7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LOPEZ RAMIREZ, EVA</v>
      </c>
      <c r="C73" s="8" cm="1">
        <f t="array" aca="1" ref="C73" ca="1">INDEX(tRealFM[Año],RANDBETWEEN(1,ROWS(tRealFM[Apellido2])))</f>
        <v>1986</v>
      </c>
      <c r="D73" s="8" t="str" cm="1">
        <f t="array" aca="1" ref="D73" ca="1">INDEX(tRealFM[clubFórmula],RANDBETWEEN(1,ROWS(tRealFM[Apellido2])))</f>
        <v>Natación RACE</v>
      </c>
      <c r="E73" s="9">
        <f>tRealFM[[#This Row],[Tiempo1]]</f>
        <v>5.1018518518518519E-2</v>
      </c>
      <c r="F73" s="9" t="str">
        <f>_xlfn.LET(
    _xlpm.k, tRealFM[[#This Row],[Tiempo2]],
    IF(_xlpm.k="", "", _xlpm.k)
  )</f>
        <v/>
      </c>
      <c r="G73" s="10">
        <f>_xlfn.LET(
    _xlpm.k, tRealFM[[#This Row],[Puntos]],
    IF(_xlpm.k="", "", _xlpm.k)
  )</f>
        <v>20</v>
      </c>
      <c r="H7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74" spans="1:8" x14ac:dyDescent="0.2">
      <c r="A74" s="8">
        <v>71</v>
      </c>
      <c r="B74" s="8" t="str" cm="1">
        <f t="array" aca="1" ref="B7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CALVO MOTA, ANA MARIA</v>
      </c>
      <c r="C74" s="8" cm="1">
        <f t="array" aca="1" ref="C74" ca="1">INDEX(tRealFM[Año],RANDBETWEEN(1,ROWS(tRealFM[Apellido2])))</f>
        <v>1990</v>
      </c>
      <c r="D74" s="8" t="str" cm="1">
        <f t="array" aca="1" ref="D74" ca="1">INDEX(tRealFM[clubFórmula],RANDBETWEEN(1,ROWS(tRealFM[Apellido2])))</f>
        <v>Club Natación SOS Bétera</v>
      </c>
      <c r="E74" s="9">
        <f>tRealFM[[#This Row],[Tiempo1]]</f>
        <v>5.6666666666666664E-2</v>
      </c>
      <c r="F74" s="9" t="str">
        <f>_xlfn.LET(
    _xlpm.k, tRealFM[[#This Row],[Tiempo2]],
    IF(_xlpm.k="", "", _xlpm.k)
  )</f>
        <v/>
      </c>
      <c r="G74" s="10">
        <f>_xlfn.LET(
    _xlpm.k, tRealFM[[#This Row],[Puntos]],
    IF(_xlpm.k="", "", _xlpm.k)
  )</f>
        <v>18</v>
      </c>
      <c r="H7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75" spans="1:8" x14ac:dyDescent="0.2">
      <c r="A75" s="8">
        <v>72</v>
      </c>
      <c r="B75" s="8" t="str" cm="1">
        <f t="array" aca="1" ref="B7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UTRERO SANTIAGO, MARIA TERESA</v>
      </c>
      <c r="C75" s="8" cm="1">
        <f t="array" aca="1" ref="C75" ca="1">INDEX(tRealFM[Año],RANDBETWEEN(1,ROWS(tRealFM[Apellido2])))</f>
        <v>1981</v>
      </c>
      <c r="D75" s="8" t="str" cm="1">
        <f t="array" aca="1" ref="D75" ca="1">INDEX(tRealFM[clubFórmula],RANDBETWEEN(1,ROWS(tRealFM[Apellido2])))</f>
        <v>Alcarreño de Salvamento y Socorrismo</v>
      </c>
      <c r="E75" s="9">
        <f>tRealFM[[#This Row],[Tiempo1]]</f>
        <v>5.9097222222222225E-2</v>
      </c>
      <c r="F75" s="9" t="str">
        <f>_xlfn.LET(
    _xlpm.k, tRealFM[[#This Row],[Tiempo2]],
    IF(_xlpm.k="", "", _xlpm.k)
  )</f>
        <v/>
      </c>
      <c r="G75" s="10">
        <f>_xlfn.LET(
    _xlpm.k, tRealFM[[#This Row],[Puntos]],
    IF(_xlpm.k="", "", _xlpm.k)
  )</f>
        <v>16</v>
      </c>
      <c r="H7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6" spans="1:8" x14ac:dyDescent="0.2">
      <c r="A76" s="8">
        <v>73</v>
      </c>
      <c r="B76" s="8" t="str" cm="1">
        <f t="array" aca="1" ref="B7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RODRIGUEZ REPARAZ, AGUSTINA</v>
      </c>
      <c r="C76" s="8" cm="1">
        <f t="array" aca="1" ref="C76" ca="1">INDEX(tRealFM[Año],RANDBETWEEN(1,ROWS(tRealFM[Apellido2])))</f>
        <v>1975</v>
      </c>
      <c r="D76" s="8" t="str" cm="1">
        <f t="array" aca="1" ref="D76" ca="1">INDEX(tRealFM[clubFórmula],RANDBETWEEN(1,ROWS(tRealFM[Apellido2])))</f>
        <v>Club A.C.N. Marisma</v>
      </c>
      <c r="E76" s="9">
        <f>tRealFM[[#This Row],[Tiempo1]]</f>
        <v>6.822916666666666E-2</v>
      </c>
      <c r="F76" s="9" t="str">
        <f>_xlfn.LET(
    _xlpm.k, tRealFM[[#This Row],[Tiempo2]],
    IF(_xlpm.k="", "", _xlpm.k)
  )</f>
        <v/>
      </c>
      <c r="G76" s="10">
        <f>_xlfn.LET(
    _xlpm.k, tRealFM[[#This Row],[Puntos]],
    IF(_xlpm.k="", "", _xlpm.k)
  )</f>
        <v>14</v>
      </c>
      <c r="H7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7" spans="1:8" x14ac:dyDescent="0.2">
      <c r="A77" s="8">
        <v>74</v>
      </c>
      <c r="B77" s="8" t="str" cm="1">
        <f t="array" aca="1" ref="B7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UTRERO NAVARRO, MICHELLE</v>
      </c>
      <c r="C77" s="8" cm="1">
        <f t="array" aca="1" ref="C77" ca="1">INDEX(tRealFM[Año],RANDBETWEEN(1,ROWS(tRealFM[Apellido2])))</f>
        <v>1982</v>
      </c>
      <c r="D77" s="8" t="str" cm="1">
        <f t="array" aca="1" ref="D77" ca="1">INDEX(tRealFM[clubFórmula],RANDBETWEEN(1,ROWS(tRealFM[Apellido2])))</f>
        <v>Club A.C.N. Marisma</v>
      </c>
      <c r="E77" s="9">
        <f>tRealFM[[#This Row],[Tiempo1]]</f>
        <v>7.2488425925925928E-2</v>
      </c>
      <c r="F77" s="9" t="str">
        <f>_xlfn.LET(
    _xlpm.k, tRealFM[[#This Row],[Tiempo2]],
    IF(_xlpm.k="", "", _xlpm.k)
  )</f>
        <v/>
      </c>
      <c r="G77" s="10">
        <f>_xlfn.LET(
    _xlpm.k, tRealFM[[#This Row],[Puntos]],
    IF(_xlpm.k="", "", _xlpm.k)
  )</f>
        <v>13</v>
      </c>
      <c r="H7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8" spans="1:8" x14ac:dyDescent="0.2">
      <c r="A78" s="8">
        <v>75</v>
      </c>
      <c r="B78" s="8" t="str" cm="1">
        <f t="array" aca="1" ref="B7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JORGE BERNAL, ROCIO</v>
      </c>
      <c r="C78" s="8" cm="1">
        <f t="array" aca="1" ref="C78" ca="1">INDEX(tRealFM[Año],RANDBETWEEN(1,ROWS(tRealFM[Apellido2])))</f>
        <v>1966</v>
      </c>
      <c r="D78" s="8" t="str" cm="1">
        <f t="array" aca="1" ref="D78" ca="1">INDEX(tRealFM[clubFórmula],RANDBETWEEN(1,ROWS(tRealFM[Apellido2])))</f>
        <v>Club Natación y Salvamento Albasit</v>
      </c>
      <c r="E78" s="9">
        <f>tRealFM[[#This Row],[Tiempo1]]</f>
        <v>7.2754629629629627E-2</v>
      </c>
      <c r="F78" s="9" t="str">
        <f>_xlfn.LET(
    _xlpm.k, tRealFM[[#This Row],[Tiempo2]],
    IF(_xlpm.k="", "", _xlpm.k)
  )</f>
        <v/>
      </c>
      <c r="G78" s="10">
        <f>_xlfn.LET(
    _xlpm.k, tRealFM[[#This Row],[Puntos]],
    IF(_xlpm.k="", "", _xlpm.k)
  )</f>
        <v>12</v>
      </c>
      <c r="H7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9" spans="1:8" x14ac:dyDescent="0.2">
      <c r="A79" s="8">
        <v>76</v>
      </c>
      <c r="B79" s="8" t="str" cm="1">
        <f t="array" aca="1" ref="B7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FERRANDIZ MARUENDA, Mª DEL CARMEN</v>
      </c>
      <c r="C79" s="8" cm="1">
        <f t="array" aca="1" ref="C79" ca="1">INDEX(tRealFM[Año],RANDBETWEEN(1,ROWS(tRealFM[Apellido2])))</f>
        <v>1969</v>
      </c>
      <c r="D79" s="8" t="str" cm="1">
        <f t="array" aca="1" ref="D79" ca="1">INDEX(tRealFM[clubFórmula],RANDBETWEEN(1,ROWS(tRealFM[Apellido2])))</f>
        <v>Club Leucante</v>
      </c>
      <c r="E79" s="9">
        <f>tRealFM[[#This Row],[Tiempo1]]</f>
        <v>7.3958333333333334E-2</v>
      </c>
      <c r="F79" s="9" t="str">
        <f>_xlfn.LET(
    _xlpm.k, tRealFM[[#This Row],[Tiempo2]],
    IF(_xlpm.k="", "", _xlpm.k)
  )</f>
        <v/>
      </c>
      <c r="G79" s="10">
        <f>_xlfn.LET(
    _xlpm.k, tRealFM[[#This Row],[Puntos]],
    IF(_xlpm.k="", "", _xlpm.k)
  )</f>
        <v>11</v>
      </c>
      <c r="H7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80" spans="1:8" x14ac:dyDescent="0.2">
      <c r="A80" s="8">
        <v>77</v>
      </c>
      <c r="B80" s="8" t="str" cm="1">
        <f t="array" aca="1" ref="B8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DIEZ VEGUILLAS, KATIHUSCA</v>
      </c>
      <c r="C80" s="8" cm="1">
        <f t="array" aca="1" ref="C80" ca="1">INDEX(tRealFM[Año],RANDBETWEEN(1,ROWS(tRealFM[Apellido2])))</f>
        <v>1974</v>
      </c>
      <c r="D80" s="8" t="str" cm="1">
        <f t="array" aca="1" ref="D80" ca="1">INDEX(tRealFM[clubFórmula],RANDBETWEEN(1,ROWS(tRealFM[Apellido2])))</f>
        <v>C.D.E Máster Arganda</v>
      </c>
      <c r="E80" s="9">
        <f>tRealFM[[#This Row],[Tiempo1]]</f>
        <v>7.4756944444444445E-2</v>
      </c>
      <c r="F80" s="9" t="str">
        <f>_xlfn.LET(
    _xlpm.k, tRealFM[[#This Row],[Tiempo2]],
    IF(_xlpm.k="", "", _xlpm.k)
  )</f>
        <v/>
      </c>
      <c r="G80" s="10">
        <f>_xlfn.LET(
    _xlpm.k, tRealFM[[#This Row],[Puntos]],
    IF(_xlpm.k="", "", _xlpm.k)
  )</f>
        <v>10</v>
      </c>
      <c r="H8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1" spans="1:8" x14ac:dyDescent="0.2">
      <c r="A81" s="8">
        <v>78</v>
      </c>
      <c r="B81" s="8" t="str" cm="1">
        <f t="array" aca="1" ref="B8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UTRERO TRILLO, MARIA BELEN</v>
      </c>
      <c r="C81" s="8" cm="1">
        <f t="array" aca="1" ref="C81" ca="1">INDEX(tRealFM[Año],RANDBETWEEN(1,ROWS(tRealFM[Apellido2])))</f>
        <v>1980</v>
      </c>
      <c r="D81" s="8" t="str" cm="1">
        <f t="array" aca="1" ref="D81" ca="1">INDEX(tRealFM[clubFórmula],RANDBETWEEN(1,ROWS(tRealFM[Apellido2])))</f>
        <v>Club Natación SOS Bétera</v>
      </c>
      <c r="E81" s="9">
        <f>tRealFM[[#This Row],[Tiempo1]]</f>
        <v>7.604166666666666E-2</v>
      </c>
      <c r="F81" s="9" t="str">
        <f>_xlfn.LET(
    _xlpm.k, tRealFM[[#This Row],[Tiempo2]],
    IF(_xlpm.k="", "", _xlpm.k)
  )</f>
        <v/>
      </c>
      <c r="G81" s="10">
        <f>_xlfn.LET(
    _xlpm.k, tRealFM[[#This Row],[Puntos]],
    IF(_xlpm.k="", "", _xlpm.k)
  )</f>
        <v>8</v>
      </c>
      <c r="H8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2" spans="1:8" x14ac:dyDescent="0.2">
      <c r="A82" s="8">
        <v>79</v>
      </c>
      <c r="B82" s="8" t="str" cm="1">
        <f t="array" aca="1" ref="B8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CASTRO GÓMEZ, PATRICIA</v>
      </c>
      <c r="C82" s="8" cm="1">
        <f t="array" aca="1" ref="C82" ca="1">INDEX(tRealFM[Año],RANDBETWEEN(1,ROWS(tRealFM[Apellido2])))</f>
        <v>1981</v>
      </c>
      <c r="D82" s="8" t="str" cm="1">
        <f t="array" aca="1" ref="D82" ca="1">INDEX(tRealFM[clubFórmula],RANDBETWEEN(1,ROWS(tRealFM[Apellido2])))</f>
        <v>C.D.E Pacífico Salvamento</v>
      </c>
      <c r="E82" s="9">
        <f>tRealFM[[#This Row],[Tiempo1]]</f>
        <v>7.7453703703703705E-2</v>
      </c>
      <c r="F82" s="9" t="str">
        <f>_xlfn.LET(
    _xlpm.k, tRealFM[[#This Row],[Tiempo2]],
    IF(_xlpm.k="", "", _xlpm.k)
  )</f>
        <v/>
      </c>
      <c r="G82" s="10">
        <f>_xlfn.LET(
    _xlpm.k, tRealFM[[#This Row],[Puntos]],
    IF(_xlpm.k="", "", _xlpm.k)
  )</f>
        <v>7</v>
      </c>
      <c r="H8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83" spans="1:8" x14ac:dyDescent="0.2">
      <c r="A83" s="8">
        <v>80</v>
      </c>
      <c r="B83" s="8" t="str" cm="1">
        <f t="array" aca="1" ref="B8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GARCÍA PAREDES, KATIHUSCA</v>
      </c>
      <c r="C83" s="8" cm="1">
        <f t="array" aca="1" ref="C83" ca="1">INDEX(tRealFM[Año],RANDBETWEEN(1,ROWS(tRealFM[Apellido2])))</f>
        <v>1965</v>
      </c>
      <c r="D83" s="8" t="str" cm="1">
        <f t="array" aca="1" ref="D83" ca="1">INDEX(tRealFM[clubFórmula],RANDBETWEEN(1,ROWS(tRealFM[Apellido2])))</f>
        <v>Club A.C.N. Marisma</v>
      </c>
      <c r="E83" s="9">
        <f>tRealFM[[#This Row],[Tiempo1]]</f>
        <v>7.9537037037037031E-2</v>
      </c>
      <c r="F83" s="9" t="str">
        <f>_xlfn.LET(
    _xlpm.k, tRealFM[[#This Row],[Tiempo2]],
    IF(_xlpm.k="", "", _xlpm.k)
  )</f>
        <v/>
      </c>
      <c r="G83" s="10">
        <f>_xlfn.LET(
    _xlpm.k, tRealFM[[#This Row],[Puntos]],
    IF(_xlpm.k="", "", _xlpm.k)
  )</f>
        <v>6</v>
      </c>
      <c r="H8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84" spans="1:8" x14ac:dyDescent="0.2">
      <c r="A84" s="8">
        <v>81</v>
      </c>
      <c r="B84" s="8" t="str" cm="1">
        <f t="array" aca="1" ref="B8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ARTIDIELLO GUILLEN, MARÍA VICTORIA</v>
      </c>
      <c r="C84" s="8" cm="1">
        <f t="array" aca="1" ref="C84" ca="1">INDEX(tRealFM[Año],RANDBETWEEN(1,ROWS(tRealFM[Apellido2])))</f>
        <v>1986</v>
      </c>
      <c r="D84" s="8" t="str" cm="1">
        <f t="array" aca="1" ref="D84" ca="1">INDEX(tRealFM[clubFórmula],RANDBETWEEN(1,ROWS(tRealFM[Apellido2])))</f>
        <v>Loredo Surf Life Saving</v>
      </c>
      <c r="E84" s="9">
        <f>tRealFM[[#This Row],[Tiempo1]]</f>
        <v>8.0358796296296303E-2</v>
      </c>
      <c r="F84" s="9" t="str">
        <f>_xlfn.LET(
    _xlpm.k, tRealFM[[#This Row],[Tiempo2]],
    IF(_xlpm.k="", "", _xlpm.k)
  )</f>
        <v/>
      </c>
      <c r="G84" s="10">
        <f>_xlfn.LET(
    _xlpm.k, tRealFM[[#This Row],[Puntos]],
    IF(_xlpm.k="", "", _xlpm.k)
  )</f>
        <v>5</v>
      </c>
      <c r="H8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5" spans="1:8" x14ac:dyDescent="0.2">
      <c r="A85" s="8">
        <v>82</v>
      </c>
      <c r="B85" s="8" t="str" cm="1">
        <f t="array" aca="1" ref="B8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FERRANDIZ GUTIERREZ, BETLEM</v>
      </c>
      <c r="C85" s="8" cm="1">
        <f t="array" aca="1" ref="C85" ca="1">INDEX(tRealFM[Año],RANDBETWEEN(1,ROWS(tRealFM[Apellido2])))</f>
        <v>1966</v>
      </c>
      <c r="D85" s="8" t="str" cm="1">
        <f t="array" aca="1" ref="D85" ca="1">INDEX(tRealFM[clubFórmula],RANDBETWEEN(1,ROWS(tRealFM[Apellido2])))</f>
        <v>Club Natación SOS Bétera</v>
      </c>
      <c r="E85" s="9">
        <f>tRealFM[[#This Row],[Tiempo1]]</f>
        <v>8.1296296296296297E-2</v>
      </c>
      <c r="F85" s="9" t="str">
        <f>_xlfn.LET(
    _xlpm.k, tRealFM[[#This Row],[Tiempo2]],
    IF(_xlpm.k="", "", _xlpm.k)
  )</f>
        <v/>
      </c>
      <c r="G85" s="10">
        <f>_xlfn.LET(
    _xlpm.k, tRealFM[[#This Row],[Puntos]],
    IF(_xlpm.k="", "", _xlpm.k)
  )</f>
        <v>4</v>
      </c>
      <c r="H8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6" spans="1:8" x14ac:dyDescent="0.2">
      <c r="A86" s="8">
        <v>83</v>
      </c>
      <c r="B86" s="8" t="str" cm="1">
        <f t="array" aca="1" ref="B8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RODRIGUEZ GASALLA, MARIA</v>
      </c>
      <c r="C86" s="8" cm="1">
        <f t="array" aca="1" ref="C86" ca="1">INDEX(tRealFM[Año],RANDBETWEEN(1,ROWS(tRealFM[Apellido2])))</f>
        <v>1994</v>
      </c>
      <c r="D86" s="8" t="str" cm="1">
        <f t="array" aca="1" ref="D86" ca="1">INDEX(tRealFM[clubFórmula],RANDBETWEEN(1,ROWS(tRealFM[Apellido2])))</f>
        <v>Club Leucante</v>
      </c>
      <c r="E86" s="9">
        <f>tRealFM[[#This Row],[Tiempo1]]</f>
        <v>8.9594907407407401E-2</v>
      </c>
      <c r="F86" s="9" t="str">
        <f>_xlfn.LET(
    _xlpm.k, tRealFM[[#This Row],[Tiempo2]],
    IF(_xlpm.k="", "", _xlpm.k)
  )</f>
        <v/>
      </c>
      <c r="G86" s="10" t="str">
        <f>_xlfn.LET(
    _xlpm.k, tRealFM[[#This Row],[Puntos]],
    IF(_xlpm.k="", "", _xlpm.k)
  )</f>
        <v/>
      </c>
      <c r="H8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7" spans="1:8" x14ac:dyDescent="0.2">
      <c r="A87" s="8">
        <v>84</v>
      </c>
      <c r="B87" s="8" t="str" cm="1">
        <f t="array" aca="1" ref="B8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IZQUIERDO BERNAL, MARIA JESUS</v>
      </c>
      <c r="C87" s="8" cm="1">
        <f t="array" aca="1" ref="C87" ca="1">INDEX(tRealFM[Año],RANDBETWEEN(1,ROWS(tRealFM[Apellido2])))</f>
        <v>1970</v>
      </c>
      <c r="D87" s="8" t="str" cm="1">
        <f t="array" aca="1" ref="D87" ca="1">INDEX(tRealFM[clubFórmula],RANDBETWEEN(1,ROWS(tRealFM[Apellido2])))</f>
        <v>Club Deportivo Oca S.O.S</v>
      </c>
      <c r="E87" s="9">
        <f>tRealFM[[#This Row],[Tiempo1]]</f>
        <v>9.0347222222222218E-2</v>
      </c>
      <c r="F87" s="9" t="str">
        <f>_xlfn.LET(
    _xlpm.k, tRealFM[[#This Row],[Tiempo2]],
    IF(_xlpm.k="", "", _xlpm.k)
  )</f>
        <v/>
      </c>
      <c r="G87" s="10">
        <f>_xlfn.LET(
    _xlpm.k, tRealFM[[#This Row],[Puntos]],
    IF(_xlpm.k="", "", _xlpm.k)
  )</f>
        <v>2</v>
      </c>
      <c r="H8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88" spans="1:8" x14ac:dyDescent="0.2">
      <c r="A88" s="8">
        <v>85</v>
      </c>
      <c r="B88" s="8" t="str" cm="1">
        <f t="array" aca="1" ref="B8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VALENCIANO REPARAZ, MARIA BELEN</v>
      </c>
      <c r="C88" s="8" cm="1">
        <f t="array" aca="1" ref="C88" ca="1">INDEX(tRealFM[Año],RANDBETWEEN(1,ROWS(tRealFM[Apellido2])))</f>
        <v>1972</v>
      </c>
      <c r="D88" s="8" t="str" cm="1">
        <f t="array" aca="1" ref="D88" ca="1">INDEX(tRealFM[clubFórmula],RANDBETWEEN(1,ROWS(tRealFM[Apellido2])))</f>
        <v>Club A.C.N. Marisma</v>
      </c>
      <c r="E88" s="9">
        <f>tRealFM[[#This Row],[Tiempo1]]</f>
        <v>9.8738425925925924E-2</v>
      </c>
      <c r="F88" s="9" t="str">
        <f>_xlfn.LET(
    _xlpm.k, tRealFM[[#This Row],[Tiempo2]],
    IF(_xlpm.k="", "", _xlpm.k)
  )</f>
        <v/>
      </c>
      <c r="G88" s="10">
        <f>_xlfn.LET(
    _xlpm.k, tRealFM[[#This Row],[Puntos]],
    IF(_xlpm.k="", "", _xlpm.k)
  )</f>
        <v>1</v>
      </c>
      <c r="H8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9" spans="1:8" x14ac:dyDescent="0.2">
      <c r="A89" s="8">
        <v>86</v>
      </c>
      <c r="B89" s="8" t="str" cm="1">
        <f t="array" aca="1" ref="B8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CHACON PICAZO, CRISTINA</v>
      </c>
      <c r="C89" s="8" cm="1">
        <f t="array" aca="1" ref="C89" ca="1">INDEX(tRealFM[Año],RANDBETWEEN(1,ROWS(tRealFM[Apellido2])))</f>
        <v>1982</v>
      </c>
      <c r="D89" s="8" t="str" cm="1">
        <f t="array" aca="1" ref="D89" ca="1">INDEX(tRealFM[clubFórmula],RANDBETWEEN(1,ROWS(tRealFM[Apellido2])))</f>
        <v>Club Deportivo Oca S.O.S</v>
      </c>
      <c r="E89" s="9">
        <f>tRealFM[[#This Row],[Tiempo1]]</f>
        <v>0.10052083333333334</v>
      </c>
      <c r="F89" s="9" t="str">
        <f>_xlfn.LET(
    _xlpm.k, tRealFM[[#This Row],[Tiempo2]],
    IF(_xlpm.k="", "", _xlpm.k)
  )</f>
        <v/>
      </c>
      <c r="G89" s="10" t="str">
        <f>_xlfn.LET(
    _xlpm.k, tRealFM[[#This Row],[Puntos]],
    IF(_xlpm.k="", "", _xlpm.k)
  )</f>
        <v/>
      </c>
      <c r="H8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0" spans="1:8" x14ac:dyDescent="0.2">
      <c r="A90" s="8">
        <v>87</v>
      </c>
      <c r="B90" s="8" t="str" cm="1">
        <f t="array" aca="1" ref="B9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ALMENDROS GONZALEZ, AGUSTINA</v>
      </c>
      <c r="C90" s="8" cm="1">
        <f t="array" aca="1" ref="C90" ca="1">INDEX(tRealFM[Año],RANDBETWEEN(1,ROWS(tRealFM[Apellido2])))</f>
        <v>1987</v>
      </c>
      <c r="D90" s="8" t="str" cm="1">
        <f t="array" aca="1" ref="D90" ca="1">INDEX(tRealFM[clubFórmula],RANDBETWEEN(1,ROWS(tRealFM[Apellido2])))</f>
        <v>C.D 27 Grados</v>
      </c>
      <c r="E90" s="9">
        <f>tRealFM[[#This Row],[Tiempo1]]</f>
        <v>0.10765046296296296</v>
      </c>
      <c r="F90" s="9" t="str">
        <f>_xlfn.LET(
    _xlpm.k, tRealFM[[#This Row],[Tiempo2]],
    IF(_xlpm.k="", "", _xlpm.k)
  )</f>
        <v/>
      </c>
      <c r="G90" s="10" t="str">
        <f>_xlfn.LET(
    _xlpm.k, tRealFM[[#This Row],[Puntos]],
    IF(_xlpm.k="", "", _xlpm.k)
  )</f>
        <v/>
      </c>
      <c r="H9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1" spans="1:8" x14ac:dyDescent="0.2">
      <c r="A91" s="8">
        <v>88</v>
      </c>
      <c r="B91" s="8" t="str" cm="1">
        <f t="array" aca="1" ref="B9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MARTÍNEZ BUENO, MARIA</v>
      </c>
      <c r="C91" s="8" cm="1">
        <f t="array" aca="1" ref="C91" ca="1">INDEX(tRealFM[Año],RANDBETWEEN(1,ROWS(tRealFM[Apellido2])))</f>
        <v>1990</v>
      </c>
      <c r="D91" s="8" t="str" cm="1">
        <f t="array" aca="1" ref="D91" ca="1">INDEX(tRealFM[clubFórmula],RANDBETWEEN(1,ROWS(tRealFM[Apellido2])))</f>
        <v>Alcarreño de Salvamento y Socorrismo</v>
      </c>
      <c r="E91" s="9" t="str">
        <f>tRealFM[[#This Row],[Tiempo1]]</f>
        <v>Baja</v>
      </c>
      <c r="F91" s="9" t="str">
        <f>_xlfn.LET(
    _xlpm.k, tRealFM[[#This Row],[Tiempo2]],
    IF(_xlpm.k="", "", _xlpm.k)
  )</f>
        <v/>
      </c>
      <c r="G91" s="10" t="str">
        <f>_xlfn.LET(
    _xlpm.k, tRealFM[[#This Row],[Puntos]],
    IF(_xlpm.k="", "", _xlpm.k)
  )</f>
        <v/>
      </c>
      <c r="H9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2" spans="1:8" x14ac:dyDescent="0.2">
      <c r="A92" s="8">
        <v>89</v>
      </c>
      <c r="B92" s="8" t="str" cm="1">
        <f t="array" aca="1" ref="B92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ARTIDIELLO PARALED, SARA</v>
      </c>
      <c r="C92" s="8" cm="1">
        <f t="array" aca="1" ref="C92" ca="1">INDEX(tRealFM[Año],RANDBETWEEN(1,ROWS(tRealFM[Apellido2])))</f>
        <v>1993</v>
      </c>
      <c r="D92" s="8" t="str" cm="1">
        <f t="array" aca="1" ref="D92" ca="1">INDEX(tRealFM[clubFórmula],RANDBETWEEN(1,ROWS(tRealFM[Apellido2])))</f>
        <v>Club A.C.N. Marisma</v>
      </c>
      <c r="E92" s="9" t="str">
        <f>tRealFM[[#This Row],[Tiempo1]]</f>
        <v>Baja</v>
      </c>
      <c r="F92" s="9" t="str">
        <f>_xlfn.LET(
    _xlpm.k, tRealFM[[#This Row],[Tiempo2]],
    IF(_xlpm.k="", "", _xlpm.k)
  )</f>
        <v/>
      </c>
      <c r="G92" s="10" t="str">
        <f>_xlfn.LET(
    _xlpm.k, tRealFM[[#This Row],[Puntos]],
    IF(_xlpm.k="", "", _xlpm.k)
  )</f>
        <v/>
      </c>
      <c r="H92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3" spans="1:8" x14ac:dyDescent="0.2">
      <c r="A93" s="8">
        <v>90</v>
      </c>
      <c r="B93" s="8" t="str" cm="1">
        <f t="array" aca="1" ref="B93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CAVADA ROMERA, ANA ISABEL</v>
      </c>
      <c r="C93" s="8" cm="1">
        <f t="array" aca="1" ref="C93" ca="1">INDEX(tRealFM[Año],RANDBETWEEN(1,ROWS(tRealFM[Apellido2])))</f>
        <v>1971</v>
      </c>
      <c r="D93" s="8" t="str" cm="1">
        <f t="array" aca="1" ref="D93" ca="1">INDEX(tRealFM[clubFórmula],RANDBETWEEN(1,ROWS(tRealFM[Apellido2])))</f>
        <v>Club Natació Reus Ploms</v>
      </c>
      <c r="E93" s="9">
        <f>tRealFM[[#This Row],[Tiempo1]]</f>
        <v>5.935185185185185E-2</v>
      </c>
      <c r="F93" s="8" t="str">
        <f>_xlfn.LET(
    _xlpm.k, tRealFM[[#This Row],[Tiempo2]],
    IF(_xlpm.k="", "", _xlpm.k)
  )</f>
        <v/>
      </c>
      <c r="G93" s="8">
        <f>_xlfn.LET(
    _xlpm.k, tRealFM[[#This Row],[Puntos]],
    IF(_xlpm.k="", "", _xlpm.k)
  )</f>
        <v>20</v>
      </c>
      <c r="H93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4" spans="1:8" x14ac:dyDescent="0.2">
      <c r="A94" s="8">
        <v>91</v>
      </c>
      <c r="B94" s="8" t="str" cm="1">
        <f t="array" aca="1" ref="B94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PADRINO FERNANDEZ DE MISA, AMAIA</v>
      </c>
      <c r="C94" s="8" cm="1">
        <f t="array" aca="1" ref="C94" ca="1">INDEX(tRealFM[Año],RANDBETWEEN(1,ROWS(tRealFM[Apellido2])))</f>
        <v>1979</v>
      </c>
      <c r="D94" s="8" t="str" cm="1">
        <f t="array" aca="1" ref="D94" ca="1">INDEX(tRealFM[clubFórmula],RANDBETWEEN(1,ROWS(tRealFM[Apellido2])))</f>
        <v>Club Deportivo Oca S.O.S</v>
      </c>
      <c r="E94" s="9">
        <f>tRealFM[[#This Row],[Tiempo1]]</f>
        <v>6.6736111111111107E-2</v>
      </c>
      <c r="F94" s="8" t="str">
        <f>_xlfn.LET(
    _xlpm.k, tRealFM[[#This Row],[Tiempo2]],
    IF(_xlpm.k="", "", _xlpm.k)
  )</f>
        <v/>
      </c>
      <c r="G94" s="8">
        <f>_xlfn.LET(
    _xlpm.k, tRealFM[[#This Row],[Puntos]],
    IF(_xlpm.k="", "", _xlpm.k)
  )</f>
        <v>18</v>
      </c>
      <c r="H94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5" spans="1:8" x14ac:dyDescent="0.2">
      <c r="A95" s="8">
        <v>92</v>
      </c>
      <c r="B95" s="8" t="str" cm="1">
        <f t="array" aca="1" ref="B95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FERNÁNDEZ MARTIN, MARIA BELEN</v>
      </c>
      <c r="C95" s="8" cm="1">
        <f t="array" aca="1" ref="C95" ca="1">INDEX(tRealFM[Año],RANDBETWEEN(1,ROWS(tRealFM[Apellido2])))</f>
        <v>1972</v>
      </c>
      <c r="D95" s="8" t="str" cm="1">
        <f t="array" aca="1" ref="D95" ca="1">INDEX(tRealFM[clubFórmula],RANDBETWEEN(1,ROWS(tRealFM[Apellido2])))</f>
        <v>Club Salvamento Sada - SASA</v>
      </c>
      <c r="E95" s="9">
        <f>tRealFM[[#This Row],[Tiempo1]]</f>
        <v>7.6643518518518514E-2</v>
      </c>
      <c r="F95" s="8" t="str">
        <f>_xlfn.LET(
    _xlpm.k, tRealFM[[#This Row],[Tiempo2]],
    IF(_xlpm.k="", "", _xlpm.k)
  )</f>
        <v/>
      </c>
      <c r="G95" s="8">
        <f>_xlfn.LET(
    _xlpm.k, tRealFM[[#This Row],[Puntos]],
    IF(_xlpm.k="", "", _xlpm.k)
  )</f>
        <v>16</v>
      </c>
      <c r="H95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6" spans="1:8" x14ac:dyDescent="0.2">
      <c r="A96" s="8">
        <v>93</v>
      </c>
      <c r="B96" s="8" t="str" cm="1">
        <f t="array" aca="1" ref="B96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GARCÍA LUNA, NOELIA</v>
      </c>
      <c r="C96" s="8" cm="1">
        <f t="array" aca="1" ref="C96" ca="1">INDEX(tRealFM[Año],RANDBETWEEN(1,ROWS(tRealFM[Apellido2])))</f>
        <v>1966</v>
      </c>
      <c r="D96" s="8" t="str" cm="1">
        <f t="array" aca="1" ref="D96" ca="1">INDEX(tRealFM[clubFórmula],RANDBETWEEN(1,ROWS(tRealFM[Apellido2])))</f>
        <v>Club Natación y Salvamento Albasit</v>
      </c>
      <c r="E96" s="9">
        <f>tRealFM[[#This Row],[Tiempo1]]</f>
        <v>8.0949074074074076E-2</v>
      </c>
      <c r="F96" s="8" t="str">
        <f>_xlfn.LET(
    _xlpm.k, tRealFM[[#This Row],[Tiempo2]],
    IF(_xlpm.k="", "", _xlpm.k)
  )</f>
        <v/>
      </c>
      <c r="G96" s="8">
        <f>_xlfn.LET(
    _xlpm.k, tRealFM[[#This Row],[Puntos]],
    IF(_xlpm.k="", "", _xlpm.k)
  )</f>
        <v>14</v>
      </c>
      <c r="H96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7" spans="1:8" x14ac:dyDescent="0.2">
      <c r="A97" s="8">
        <v>94</v>
      </c>
      <c r="B97" s="8" t="str" cm="1">
        <f t="array" aca="1" ref="B97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PLANAS FERNANDEZ DE MISA, MARIA DEL CARMEN</v>
      </c>
      <c r="C97" s="8" cm="1">
        <f t="array" aca="1" ref="C97" ca="1">INDEX(tRealFM[Año],RANDBETWEEN(1,ROWS(tRealFM[Apellido2])))</f>
        <v>1974</v>
      </c>
      <c r="D97" s="8" t="str" cm="1">
        <f t="array" aca="1" ref="D97" ca="1">INDEX(tRealFM[clubFórmula],RANDBETWEEN(1,ROWS(tRealFM[Apellido2])))</f>
        <v>C.D.E Máster Arganda</v>
      </c>
      <c r="E97" s="9">
        <f>tRealFM[[#This Row],[Tiempo1]]</f>
        <v>9.1261574074074078E-2</v>
      </c>
      <c r="F97" s="8" t="str">
        <f>_xlfn.LET(
    _xlpm.k, tRealFM[[#This Row],[Tiempo2]],
    IF(_xlpm.k="", "", _xlpm.k)
  )</f>
        <v/>
      </c>
      <c r="G97" s="8">
        <f>_xlfn.LET(
    _xlpm.k, tRealFM[[#This Row],[Puntos]],
    IF(_xlpm.k="", "", _xlpm.k)
  )</f>
        <v>13</v>
      </c>
      <c r="H97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8" spans="1:8" x14ac:dyDescent="0.2">
      <c r="A98" s="8">
        <v>95</v>
      </c>
      <c r="B98" s="8" t="str" cm="1">
        <f t="array" aca="1" ref="B98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CAVADA LAGUILLO, ANA</v>
      </c>
      <c r="C98" s="8" cm="1">
        <f t="array" aca="1" ref="C98" ca="1">INDEX(tRealFM[Año],RANDBETWEEN(1,ROWS(tRealFM[Apellido2])))</f>
        <v>1972</v>
      </c>
      <c r="D98" s="8" t="str" cm="1">
        <f t="array" aca="1" ref="D98" ca="1">INDEX(tRealFM[clubFórmula],RANDBETWEEN(1,ROWS(tRealFM[Apellido2])))</f>
        <v>Loredo Surf Life Saving</v>
      </c>
      <c r="E98" s="9" t="str">
        <f>tRealFM[[#This Row],[Tiempo1]]</f>
        <v>Baja</v>
      </c>
      <c r="F98" s="8" t="str">
        <f>_xlfn.LET(
    _xlpm.k, tRealFM[[#This Row],[Tiempo2]],
    IF(_xlpm.k="", "", _xlpm.k)
  )</f>
        <v/>
      </c>
      <c r="G98" s="8" t="str">
        <f>_xlfn.LET(
    _xlpm.k, tRealFM[[#This Row],[Puntos]],
    IF(_xlpm.k="", "", _xlpm.k)
  )</f>
        <v/>
      </c>
      <c r="H98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9" spans="1:8" x14ac:dyDescent="0.2">
      <c r="A99" s="8">
        <v>96</v>
      </c>
      <c r="B99" s="8" t="str" cm="1">
        <f t="array" aca="1" ref="B99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PASTOR ALVAREZ, CONCEPCION</v>
      </c>
      <c r="C99" s="8" cm="1">
        <f t="array" aca="1" ref="C99" ca="1">INDEX(tRealFM[Año],RANDBETWEEN(1,ROWS(tRealFM[Apellido2])))</f>
        <v>1981</v>
      </c>
      <c r="D99" s="8" t="str" cm="1">
        <f t="array" aca="1" ref="D99" ca="1">INDEX(tRealFM[clubFórmula],RANDBETWEEN(1,ROWS(tRealFM[Apellido2])))</f>
        <v>C.D.E Pacífico Salvamento</v>
      </c>
      <c r="E99" s="9">
        <f>tRealFM[[#This Row],[Tiempo1]]</f>
        <v>8.4340277777777778E-2</v>
      </c>
      <c r="F99" s="8" t="str">
        <f>_xlfn.LET(
    _xlpm.k, tRealFM[[#This Row],[Tiempo2]],
    IF(_xlpm.k="", "", _xlpm.k)
  )</f>
        <v/>
      </c>
      <c r="G99" s="8">
        <f>_xlfn.LET(
    _xlpm.k, tRealFM[[#This Row],[Puntos]],
    IF(_xlpm.k="", "", _xlpm.k)
  )</f>
        <v>20</v>
      </c>
      <c r="H99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00" spans="1:8" x14ac:dyDescent="0.2">
      <c r="A100" s="8">
        <v>97</v>
      </c>
      <c r="B100" s="8" t="str" cm="1">
        <f t="array" aca="1" ref="B100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PAREJA MARCOS, LAURA</v>
      </c>
      <c r="C100" s="8" cm="1">
        <f t="array" aca="1" ref="C100" ca="1">INDEX(tRealFM[Año],RANDBETWEEN(1,ROWS(tRealFM[Apellido2])))</f>
        <v>1982</v>
      </c>
      <c r="D100" s="8" t="str" cm="1">
        <f t="array" aca="1" ref="D100" ca="1">INDEX(tRealFM[clubFórmula],RANDBETWEEN(1,ROWS(tRealFM[Apellido2])))</f>
        <v>Club Deportivo Sirenas de Catarroja</v>
      </c>
      <c r="E100" s="9">
        <f>tRealFM[[#This Row],[Tiempo1]]</f>
        <v>9.734953703703704E-2</v>
      </c>
      <c r="F100" s="8" t="str">
        <f>_xlfn.LET(
    _xlpm.k, tRealFM[[#This Row],[Tiempo2]],
    IF(_xlpm.k="", "", _xlpm.k)
  )</f>
        <v/>
      </c>
      <c r="G100" s="8">
        <f>_xlfn.LET(
    _xlpm.k, tRealFM[[#This Row],[Puntos]],
    IF(_xlpm.k="", "", _xlpm.k)
  )</f>
        <v>18</v>
      </c>
      <c r="H100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01" spans="1:8" x14ac:dyDescent="0.2">
      <c r="A101" s="8">
        <v>98</v>
      </c>
      <c r="B101" s="8" t="str" cm="1">
        <f t="array" aca="1" ref="B101" ca="1">_xlfn.CONCAT(_xlfn.LET(
    _xlpm.k, RANDBETWEEN(1, ROWS(tRealFM[Apellido2])),
    _xlpm.n, INDEX(tRealFM[Apellido1], _xlpm.k),
    IF(_xlpm.n="", "", _xlpm.n)
  )," ",
  _xlfn.LET(
    _xlpm.k, RANDBETWEEN(1, ROWS(tRealFM[Apellido2])),
    _xlpm.n, INDEX(tRealFM[Apellido2], _xlpm.k),
    IF(_xlpm.n="", "", _xlpm.n)
  ),", ",
  _xlfn.LET(
    _xlpm.k, RANDBETWEEN(1, ROWS(tRealFM[Apellido2])),
    _xlpm.n, INDEX(tRealFM[Nombre], _xlpm.k),
    IF(_xlpm.n="", "", _xlpm.n)
  )
)</f>
        <v>FERNÁNDEZ RAMIREZ, ELENA</v>
      </c>
      <c r="C101" s="8" cm="1">
        <f t="array" aca="1" ref="C101" ca="1">INDEX(tRealFM[Año],RANDBETWEEN(1,ROWS(tRealFM[Apellido2])))</f>
        <v>1972</v>
      </c>
      <c r="D101" s="8" t="str" cm="1">
        <f t="array" aca="1" ref="D101" ca="1">INDEX(tRealFM[clubFórmula],RANDBETWEEN(1,ROWS(tRealFM[Apellido2])))</f>
        <v>Natación RACE</v>
      </c>
      <c r="E101" s="9">
        <f>tRealFM[[#This Row],[Tiempo1]]</f>
        <v>9.8958333333333329E-2</v>
      </c>
      <c r="F101" s="8" t="str">
        <f>_xlfn.LET(
    _xlpm.k, tRealFM[[#This Row],[Tiempo2]],
    IF(_xlpm.k="", "", _xlpm.k)
  )</f>
        <v/>
      </c>
      <c r="G101" s="8">
        <f>_xlfn.LET(
    _xlpm.k, tRealFM[[#This Row],[Puntos]],
    IF(_xlpm.k="", "", _xlpm.k)
  )</f>
        <v>16</v>
      </c>
      <c r="H101" s="10" t="str">
        <f ca="1">_xlfn.LET(
_xlpm.anioNac,tRealFM[[#This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11" spans="1:8" x14ac:dyDescent="0.2">
      <c r="B111" s="15"/>
      <c r="C111" s="15"/>
    </row>
    <row r="112" spans="1:8" x14ac:dyDescent="0.2">
      <c r="D112" s="15"/>
    </row>
    <row r="113" spans="1:5" x14ac:dyDescent="0.2">
      <c r="B113" s="15"/>
      <c r="C113" s="15"/>
    </row>
    <row r="114" spans="1:5" x14ac:dyDescent="0.2">
      <c r="B114" s="15"/>
    </row>
    <row r="115" spans="1:5" x14ac:dyDescent="0.2">
      <c r="C115" s="15"/>
      <c r="D115" s="15"/>
    </row>
    <row r="116" spans="1:5" x14ac:dyDescent="0.2">
      <c r="D116" s="15"/>
      <c r="E116" s="15"/>
    </row>
    <row r="118" spans="1:5" x14ac:dyDescent="0.2">
      <c r="E118" s="15"/>
    </row>
    <row r="119" spans="1:5" x14ac:dyDescent="0.2">
      <c r="C119" s="15"/>
      <c r="D119" s="15"/>
    </row>
    <row r="120" spans="1:5" x14ac:dyDescent="0.2">
      <c r="A120" s="15"/>
    </row>
    <row r="122" spans="1:5" x14ac:dyDescent="0.2">
      <c r="C122" s="15"/>
    </row>
    <row r="123" spans="1:5" x14ac:dyDescent="0.2">
      <c r="B123" s="15"/>
    </row>
    <row r="130" spans="1:3" x14ac:dyDescent="0.2">
      <c r="A130" s="15"/>
    </row>
    <row r="131" spans="1:3" x14ac:dyDescent="0.2">
      <c r="C131" s="15"/>
    </row>
    <row r="134" spans="1:3" x14ac:dyDescent="0.2">
      <c r="B134" s="15"/>
    </row>
    <row r="138" spans="1:3" x14ac:dyDescent="0.2">
      <c r="A138" s="15"/>
    </row>
    <row r="140" spans="1:3" x14ac:dyDescent="0.2">
      <c r="A140" s="15"/>
    </row>
    <row r="142" spans="1:3" x14ac:dyDescent="0.2">
      <c r="B142" s="15"/>
    </row>
    <row r="143" spans="1:3" x14ac:dyDescent="0.2">
      <c r="B143" s="15"/>
    </row>
    <row r="144" spans="1:3" x14ac:dyDescent="0.2">
      <c r="C144" s="15"/>
    </row>
    <row r="145" spans="2:3" x14ac:dyDescent="0.2">
      <c r="B145" s="15"/>
    </row>
    <row r="146" spans="2:3" x14ac:dyDescent="0.2">
      <c r="C146" s="15"/>
    </row>
    <row r="147" spans="2:3" x14ac:dyDescent="0.2">
      <c r="B147" s="15"/>
    </row>
    <row r="148" spans="2:3" x14ac:dyDescent="0.2">
      <c r="B148" s="15"/>
    </row>
    <row r="149" spans="2:3" x14ac:dyDescent="0.2">
      <c r="C149" s="15"/>
    </row>
    <row r="150" spans="2:3" x14ac:dyDescent="0.2">
      <c r="B150" s="15"/>
    </row>
    <row r="151" spans="2:3" x14ac:dyDescent="0.2">
      <c r="B151" s="15"/>
    </row>
    <row r="157" spans="2:3" x14ac:dyDescent="0.2">
      <c r="B157" s="15"/>
    </row>
    <row r="158" spans="2:3" x14ac:dyDescent="0.2">
      <c r="B158" s="15"/>
    </row>
    <row r="159" spans="2:3" x14ac:dyDescent="0.2">
      <c r="C159" s="15"/>
    </row>
    <row r="161" spans="1:4" x14ac:dyDescent="0.2">
      <c r="B161" s="15"/>
    </row>
    <row r="162" spans="1:4" x14ac:dyDescent="0.2">
      <c r="A162" s="15"/>
    </row>
    <row r="163" spans="1:4" x14ac:dyDescent="0.2">
      <c r="C163" s="15"/>
    </row>
    <row r="164" spans="1:4" x14ac:dyDescent="0.2">
      <c r="C164" s="15"/>
    </row>
    <row r="165" spans="1:4" x14ac:dyDescent="0.2">
      <c r="C165" s="15"/>
    </row>
    <row r="166" spans="1:4" x14ac:dyDescent="0.2">
      <c r="B166" s="15"/>
    </row>
    <row r="167" spans="1:4" x14ac:dyDescent="0.2">
      <c r="B167" s="15"/>
    </row>
    <row r="168" spans="1:4" x14ac:dyDescent="0.2">
      <c r="D168" s="15"/>
    </row>
    <row r="169" spans="1:4" x14ac:dyDescent="0.2">
      <c r="C169" s="15"/>
    </row>
    <row r="172" spans="1:4" x14ac:dyDescent="0.2">
      <c r="B172" s="15"/>
    </row>
    <row r="173" spans="1:4" x14ac:dyDescent="0.2">
      <c r="A173" s="15"/>
    </row>
    <row r="177" spans="1:4" x14ac:dyDescent="0.2">
      <c r="C177" s="15"/>
    </row>
    <row r="178" spans="1:4" x14ac:dyDescent="0.2">
      <c r="B178" s="15"/>
    </row>
    <row r="183" spans="1:4" x14ac:dyDescent="0.2">
      <c r="A183" s="15"/>
    </row>
    <row r="184" spans="1:4" x14ac:dyDescent="0.2">
      <c r="B184" s="15"/>
    </row>
    <row r="185" spans="1:4" x14ac:dyDescent="0.2">
      <c r="B185" s="15"/>
    </row>
    <row r="186" spans="1:4" x14ac:dyDescent="0.2">
      <c r="A186" s="15"/>
    </row>
    <row r="189" spans="1:4" x14ac:dyDescent="0.2">
      <c r="A189" s="15"/>
    </row>
    <row r="190" spans="1:4" x14ac:dyDescent="0.2">
      <c r="D190" s="15"/>
    </row>
    <row r="191" spans="1:4" x14ac:dyDescent="0.2">
      <c r="A191" s="15"/>
    </row>
    <row r="192" spans="1:4" x14ac:dyDescent="0.2">
      <c r="D192" s="15"/>
    </row>
    <row r="193" spans="1:3" x14ac:dyDescent="0.2">
      <c r="C193" s="15"/>
    </row>
    <row r="194" spans="1:3" x14ac:dyDescent="0.2">
      <c r="B194" s="15"/>
    </row>
    <row r="196" spans="1:3" x14ac:dyDescent="0.2">
      <c r="A196" s="15"/>
    </row>
    <row r="199" spans="1:3" x14ac:dyDescent="0.2">
      <c r="A199" s="15"/>
    </row>
    <row r="201" spans="1:3" x14ac:dyDescent="0.2">
      <c r="A201" s="15"/>
    </row>
    <row r="203" spans="1:3" x14ac:dyDescent="0.2">
      <c r="C203" s="15"/>
    </row>
    <row r="206" spans="1:3" x14ac:dyDescent="0.2">
      <c r="C206" s="15"/>
    </row>
    <row r="207" spans="1:3" x14ac:dyDescent="0.2">
      <c r="A207" s="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F9D5-F5BC-405B-A99E-33F57C3F9548}">
  <dimension ref="A1:M220"/>
  <sheetViews>
    <sheetView zoomScaleNormal="100" workbookViewId="0">
      <selection activeCell="E1" sqref="E1:G1048576"/>
    </sheetView>
  </sheetViews>
  <sheetFormatPr defaultRowHeight="12.75" x14ac:dyDescent="0.2"/>
  <cols>
    <col min="1" max="1" width="8.85546875" style="8" bestFit="1" customWidth="1"/>
    <col min="2" max="2" width="33.85546875" style="8" bestFit="1" customWidth="1"/>
    <col min="3" max="3" width="6.7109375" style="8" bestFit="1" customWidth="1"/>
    <col min="4" max="4" width="43.5703125" style="8" bestFit="1" customWidth="1"/>
    <col min="5" max="5" width="12.28515625" style="8" bestFit="1" customWidth="1"/>
    <col min="6" max="6" width="10.42578125" style="8" bestFit="1" customWidth="1"/>
    <col min="7" max="7" width="9" style="8" bestFit="1" customWidth="1"/>
    <col min="8" max="8" width="12.140625" style="8" bestFit="1" customWidth="1"/>
    <col min="9" max="16384" width="9.140625" style="8"/>
  </cols>
  <sheetData>
    <row r="1" spans="1:8" ht="29.25" x14ac:dyDescent="0.7">
      <c r="A1" s="16" t="s">
        <v>913</v>
      </c>
    </row>
    <row r="3" spans="1:8" x14ac:dyDescent="0.2">
      <c r="A3" s="4" t="s">
        <v>282</v>
      </c>
      <c r="B3" s="5" t="s">
        <v>285</v>
      </c>
      <c r="C3" s="5" t="s">
        <v>286</v>
      </c>
      <c r="D3" s="5" t="s">
        <v>2</v>
      </c>
      <c r="E3" s="5" t="s">
        <v>287</v>
      </c>
      <c r="F3" s="5" t="s">
        <v>288</v>
      </c>
      <c r="G3" s="6" t="s">
        <v>289</v>
      </c>
      <c r="H3" s="7" t="s">
        <v>305</v>
      </c>
    </row>
    <row r="4" spans="1:8" x14ac:dyDescent="0.2">
      <c r="A4" s="8">
        <v>1</v>
      </c>
      <c r="B4" s="8" t="str" cm="1">
        <f t="array" aca="1" ref="B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MORENO CASTAÑEDA, GUSTAVO ADOLFO</v>
      </c>
      <c r="C4" s="8" cm="1">
        <f t="array" aca="1" ref="C4" ca="1">INDEX(tRealMM[Año],RANDBETWEEN(1,ROWS(tRealMM[Apellido2])))</f>
        <v>1972</v>
      </c>
      <c r="D4" s="8" t="str" cm="1">
        <f t="array" aca="1" ref="D4" ca="1">INDEX(tRealMM[clubFórmula],RANDBETWEEN(1,ROWS(tRealMM[Apellido2])))</f>
        <v>Club Deportivo Sirenas de Catarroja</v>
      </c>
      <c r="E4" s="9">
        <f>tRealMM[[#This Row],[Tiempo1]]</f>
        <v>9.0335648148148151E-2</v>
      </c>
      <c r="F4" s="9" t="str">
        <f>_xlfn.LET(
    _xlpm.k, tRealMM[[#This Row],[Tiempo2]],
    IF(_xlpm.k="", "", _xlpm.k)
  )</f>
        <v/>
      </c>
      <c r="G4" s="10">
        <f>_xlfn.LET(
    _xlpm.k, tRealMM[[#This Row],[Puntos]],
    IF(_xlpm.k="", "", _xlpm.k)
  )</f>
        <v>20</v>
      </c>
      <c r="H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5" spans="1:8" x14ac:dyDescent="0.2">
      <c r="A5" s="8">
        <v>2</v>
      </c>
      <c r="B5" s="8" t="str" cm="1">
        <f t="array" aca="1" ref="B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VELASCO TERUEL, MARCOS</v>
      </c>
      <c r="C5" s="8" cm="1">
        <f t="array" aca="1" ref="C5" ca="1">INDEX(tRealMM[Año],RANDBETWEEN(1,ROWS(tRealMM[Apellido2])))</f>
        <v>1983</v>
      </c>
      <c r="D5" s="8" t="str" cm="1">
        <f t="array" aca="1" ref="D5" ca="1">INDEX(tRealMM[clubFórmula],RANDBETWEEN(1,ROWS(tRealMM[Apellido2])))</f>
        <v>Loredo Surf Life Saving</v>
      </c>
      <c r="E5" s="9">
        <f>tRealMM[[#This Row],[Tiempo1]]</f>
        <v>9.5370370370370369E-2</v>
      </c>
      <c r="F5" s="9" t="str">
        <f>_xlfn.LET(
    _xlpm.k, tRealMM[[#This Row],[Tiempo2]],
    IF(_xlpm.k="", "", _xlpm.k)
  )</f>
        <v/>
      </c>
      <c r="G5" s="10">
        <f>_xlfn.LET(
    _xlpm.k, tRealMM[[#This Row],[Puntos]],
    IF(_xlpm.k="", "", _xlpm.k)
  )</f>
        <v>18</v>
      </c>
      <c r="H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6" spans="1:8" x14ac:dyDescent="0.2">
      <c r="A6" s="8">
        <v>3</v>
      </c>
      <c r="B6" s="8" t="str" cm="1">
        <f t="array" aca="1" ref="B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LLORENTE CREMADES, ALBERTO</v>
      </c>
      <c r="C6" s="8" cm="1">
        <f t="array" aca="1" ref="C6" ca="1">INDEX(tRealMM[Año],RANDBETWEEN(1,ROWS(tRealMM[Apellido2])))</f>
        <v>1956</v>
      </c>
      <c r="D6" s="8" t="str" cm="1">
        <f t="array" aca="1" ref="D6" ca="1">INDEX(tRealMM[clubFórmula],RANDBETWEEN(1,ROWS(tRealMM[Apellido2])))</f>
        <v>Natación RACE</v>
      </c>
      <c r="E6" s="9">
        <f>tRealMM[[#This Row],[Tiempo1]]</f>
        <v>9.6145833333333333E-2</v>
      </c>
      <c r="F6" s="9" t="str">
        <f>_xlfn.LET(
    _xlpm.k, tRealMM[[#This Row],[Tiempo2]],
    IF(_xlpm.k="", "", _xlpm.k)
  )</f>
        <v/>
      </c>
      <c r="G6" s="10">
        <f>_xlfn.LET(
    _xlpm.k, tRealMM[[#This Row],[Puntos]],
    IF(_xlpm.k="", "", _xlpm.k)
  )</f>
        <v>16</v>
      </c>
      <c r="H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7" spans="1:8" x14ac:dyDescent="0.2">
      <c r="A7" s="8">
        <v>4</v>
      </c>
      <c r="B7" s="8" t="str" cm="1">
        <f t="array" aca="1" ref="B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DE LA VIESCA BERGADO, LUIS</v>
      </c>
      <c r="C7" s="8" cm="1">
        <f t="array" aca="1" ref="C7" ca="1">INDEX(tRealMM[Año],RANDBETWEEN(1,ROWS(tRealMM[Apellido2])))</f>
        <v>1978</v>
      </c>
      <c r="D7" s="8" t="str" cm="1">
        <f t="array" aca="1" ref="D7" ca="1">INDEX(tRealMM[clubFórmula],RANDBETWEEN(1,ROWS(tRealMM[Apellido2])))</f>
        <v>Escuela Salvamento Almendralejo</v>
      </c>
      <c r="E7" s="9">
        <f>tRealMM[[#This Row],[Tiempo1]]</f>
        <v>9.8136574074074071E-2</v>
      </c>
      <c r="F7" s="9" t="str">
        <f>_xlfn.LET(
    _xlpm.k, tRealMM[[#This Row],[Tiempo2]],
    IF(_xlpm.k="", "", _xlpm.k)
  )</f>
        <v/>
      </c>
      <c r="G7" s="10">
        <f>_xlfn.LET(
    _xlpm.k, tRealMM[[#This Row],[Puntos]],
    IF(_xlpm.k="", "", _xlpm.k)
  )</f>
        <v>14</v>
      </c>
      <c r="H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8" spans="1:8" x14ac:dyDescent="0.2">
      <c r="A8" s="8">
        <v>5</v>
      </c>
      <c r="B8" s="8" t="str" cm="1">
        <f t="array" aca="1" ref="B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ÁLVAREZ ARCONADA, ALVARO</v>
      </c>
      <c r="C8" s="8" cm="1">
        <f t="array" aca="1" ref="C8" ca="1">INDEX(tRealMM[Año],RANDBETWEEN(1,ROWS(tRealMM[Apellido2])))</f>
        <v>1966</v>
      </c>
      <c r="D8" s="8" t="str" cm="1">
        <f t="array" aca="1" ref="D8" ca="1">INDEX(tRealMM[clubFórmula],RANDBETWEEN(1,ROWS(tRealMM[Apellido2])))</f>
        <v>Club Natación San Vicente</v>
      </c>
      <c r="E8" s="9">
        <f>tRealMM[[#This Row],[Tiempo1]]</f>
        <v>0.10089120370370371</v>
      </c>
      <c r="F8" s="9" t="str">
        <f>_xlfn.LET(
    _xlpm.k, tRealMM[[#This Row],[Tiempo2]],
    IF(_xlpm.k="", "", _xlpm.k)
  )</f>
        <v/>
      </c>
      <c r="G8" s="10">
        <f>_xlfn.LET(
    _xlpm.k, tRealMM[[#This Row],[Puntos]],
    IF(_xlpm.k="", "", _xlpm.k)
  )</f>
        <v>13</v>
      </c>
      <c r="H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9" spans="1:8" x14ac:dyDescent="0.2">
      <c r="A9" s="8">
        <v>6</v>
      </c>
      <c r="B9" s="8" t="str" cm="1">
        <f t="array" aca="1" ref="B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ÁLVAREZ ALONSO, ALVARO</v>
      </c>
      <c r="C9" s="8" cm="1">
        <f t="array" aca="1" ref="C9" ca="1">INDEX(tRealMM[Año],RANDBETWEEN(1,ROWS(tRealMM[Apellido2])))</f>
        <v>1967</v>
      </c>
      <c r="D9" s="8" t="str" cm="1">
        <f t="array" aca="1" ref="D9" ca="1">INDEX(tRealMM[clubFórmula],RANDBETWEEN(1,ROWS(tRealMM[Apellido2])))</f>
        <v>Club Deportivo Sirenas de Catarroja</v>
      </c>
      <c r="E9" s="9">
        <f>tRealMM[[#This Row],[Tiempo1]]</f>
        <v>0.10126157407407407</v>
      </c>
      <c r="F9" s="9" t="str">
        <f>_xlfn.LET(
    _xlpm.k, tRealMM[[#This Row],[Tiempo2]],
    IF(_xlpm.k="", "", _xlpm.k)
  )</f>
        <v/>
      </c>
      <c r="G9" s="10">
        <f>_xlfn.LET(
    _xlpm.k, tRealMM[[#This Row],[Puntos]],
    IF(_xlpm.k="", "", _xlpm.k)
  )</f>
        <v>12</v>
      </c>
      <c r="H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0" spans="1:8" x14ac:dyDescent="0.2">
      <c r="A10" s="8">
        <v>7</v>
      </c>
      <c r="B10" s="8" t="str" cm="1">
        <f t="array" aca="1" ref="B1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GARCIA CASTILLO, CARLOS</v>
      </c>
      <c r="C10" s="8" cm="1">
        <f t="array" aca="1" ref="C10" ca="1">INDEX(tRealMM[Año],RANDBETWEEN(1,ROWS(tRealMM[Apellido2])))</f>
        <v>1990</v>
      </c>
      <c r="D10" s="8" t="str" cm="1">
        <f t="array" aca="1" ref="D10" ca="1">INDEX(tRealMM[clubFórmula],RANDBETWEEN(1,ROWS(tRealMM[Apellido2])))</f>
        <v>Club Acuático Umia</v>
      </c>
      <c r="E10" s="9">
        <f>tRealMM[[#This Row],[Tiempo1]]</f>
        <v>0.10337962962962963</v>
      </c>
      <c r="F10" s="9" t="str">
        <f>_xlfn.LET(
    _xlpm.k, tRealMM[[#This Row],[Tiempo2]],
    IF(_xlpm.k="", "", _xlpm.k)
  )</f>
        <v/>
      </c>
      <c r="G10" s="10">
        <f>_xlfn.LET(
    _xlpm.k, tRealMM[[#This Row],[Puntos]],
    IF(_xlpm.k="", "", _xlpm.k)
  )</f>
        <v>11</v>
      </c>
      <c r="H1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1" spans="1:8" x14ac:dyDescent="0.2">
      <c r="A11" s="8">
        <v>8</v>
      </c>
      <c r="B11" s="8" t="str" cm="1">
        <f t="array" aca="1" ref="B1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CARVAJAL MARTÍNEZ, MARCOS</v>
      </c>
      <c r="C11" s="8" cm="1">
        <f t="array" aca="1" ref="C11" ca="1">INDEX(tRealMM[Año],RANDBETWEEN(1,ROWS(tRealMM[Apellido2])))</f>
        <v>1975</v>
      </c>
      <c r="D11" s="8" t="str" cm="1">
        <f t="array" aca="1" ref="D11" ca="1">INDEX(tRealMM[clubFórmula],RANDBETWEEN(1,ROWS(tRealMM[Apellido2])))</f>
        <v>Escuela Salvamento Almendralejo</v>
      </c>
      <c r="E11" s="9">
        <f>tRealMM[[#This Row],[Tiempo1]]</f>
        <v>0.1034375</v>
      </c>
      <c r="F11" s="9" t="str">
        <f>_xlfn.LET(
    _xlpm.k, tRealMM[[#This Row],[Tiempo2]],
    IF(_xlpm.k="", "", _xlpm.k)
  )</f>
        <v/>
      </c>
      <c r="G11" s="10">
        <f>_xlfn.LET(
    _xlpm.k, tRealMM[[#This Row],[Puntos]],
    IF(_xlpm.k="", "", _xlpm.k)
  )</f>
        <v>10</v>
      </c>
      <c r="H1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2" spans="1:8" x14ac:dyDescent="0.2">
      <c r="A12" s="8">
        <v>9</v>
      </c>
      <c r="B12" s="8" t="str" cm="1">
        <f t="array" aca="1" ref="B1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ALVAREZ SANTAFÉ, CESAR</v>
      </c>
      <c r="C12" s="8" cm="1">
        <f t="array" aca="1" ref="C12" ca="1">INDEX(tRealMM[Año],RANDBETWEEN(1,ROWS(tRealMM[Apellido2])))</f>
        <v>1975</v>
      </c>
      <c r="D12" s="8" t="str" cm="1">
        <f t="array" aca="1" ref="D12" ca="1">INDEX(tRealMM[clubFórmula],RANDBETWEEN(1,ROWS(tRealMM[Apellido2])))</f>
        <v>Natación RACE</v>
      </c>
      <c r="E12" s="9">
        <f>tRealMM[[#This Row],[Tiempo1]]</f>
        <v>0.10425925925925926</v>
      </c>
      <c r="F12" s="9" t="str">
        <f>_xlfn.LET(
    _xlpm.k, tRealMM[[#This Row],[Tiempo2]],
    IF(_xlpm.k="", "", _xlpm.k)
  )</f>
        <v/>
      </c>
      <c r="G12" s="10">
        <f>_xlfn.LET(
    _xlpm.k, tRealMM[[#This Row],[Puntos]],
    IF(_xlpm.k="", "", _xlpm.k)
  )</f>
        <v>8</v>
      </c>
      <c r="H1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13" spans="1:8" x14ac:dyDescent="0.2">
      <c r="A13" s="8">
        <v>10</v>
      </c>
      <c r="B13" s="8" t="str" cm="1">
        <f t="array" aca="1" ref="B1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MEDINA BARRUFET, FRANCISCO JAVIER</v>
      </c>
      <c r="C13" s="8" cm="1">
        <f t="array" aca="1" ref="C13" ca="1">INDEX(tRealMM[Año],RANDBETWEEN(1,ROWS(tRealMM[Apellido2])))</f>
        <v>1960</v>
      </c>
      <c r="D13" s="8" t="str" cm="1">
        <f t="array" aca="1" ref="D13" ca="1">INDEX(tRealMM[clubFórmula],RANDBETWEEN(1,ROWS(tRealMM[Apellido2])))</f>
        <v>Club Deportivo Oca S.O.S</v>
      </c>
      <c r="E13" s="9">
        <f>tRealMM[[#This Row],[Tiempo1]]</f>
        <v>0.10575231481481481</v>
      </c>
      <c r="F13" s="9" t="str">
        <f>_xlfn.LET(
    _xlpm.k, tRealMM[[#This Row],[Tiempo2]],
    IF(_xlpm.k="", "", _xlpm.k)
  )</f>
        <v/>
      </c>
      <c r="G13" s="10">
        <f>_xlfn.LET(
    _xlpm.k, tRealMM[[#This Row],[Puntos]],
    IF(_xlpm.k="", "", _xlpm.k)
  )</f>
        <v>7</v>
      </c>
      <c r="H1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4" spans="1:8" x14ac:dyDescent="0.2">
      <c r="A14" s="8">
        <v>11</v>
      </c>
      <c r="B14" s="8" t="str" cm="1">
        <f t="array" aca="1" ref="B1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CULEBRAS DIEZ, MIGUEL</v>
      </c>
      <c r="C14" s="8" cm="1">
        <f t="array" aca="1" ref="C14" ca="1">INDEX(tRealMM[Año],RANDBETWEEN(1,ROWS(tRealMM[Apellido2])))</f>
        <v>1994</v>
      </c>
      <c r="D14" s="8" t="str" cm="1">
        <f t="array" aca="1" ref="D14" ca="1">INDEX(tRealMM[clubFórmula],RANDBETWEEN(1,ROWS(tRealMM[Apellido2])))</f>
        <v>C.D.B. Vallecas S.O.S</v>
      </c>
      <c r="E14" s="9">
        <f>tRealMM[[#This Row],[Tiempo1]]</f>
        <v>0.1084837962962963</v>
      </c>
      <c r="F14" s="9" t="str">
        <f>_xlfn.LET(
    _xlpm.k, tRealMM[[#This Row],[Tiempo2]],
    IF(_xlpm.k="", "", _xlpm.k)
  )</f>
        <v/>
      </c>
      <c r="G14" s="10">
        <f>_xlfn.LET(
    _xlpm.k, tRealMM[[#This Row],[Puntos]],
    IF(_xlpm.k="", "", _xlpm.k)
  )</f>
        <v>6</v>
      </c>
      <c r="H1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5" spans="1:8" x14ac:dyDescent="0.2">
      <c r="A15" s="8">
        <v>12</v>
      </c>
      <c r="B15" s="8" t="str" cm="1">
        <f t="array" aca="1" ref="B1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RAMON MIÑO, VÍCTOR</v>
      </c>
      <c r="C15" s="8" cm="1">
        <f t="array" aca="1" ref="C15" ca="1">INDEX(tRealMM[Año],RANDBETWEEN(1,ROWS(tRealMM[Apellido2])))</f>
        <v>1992</v>
      </c>
      <c r="D15" s="8" t="str" cm="1">
        <f t="array" aca="1" ref="D15" ca="1">INDEX(tRealMM[clubFórmula],RANDBETWEEN(1,ROWS(tRealMM[Apellido2])))</f>
        <v>C.D.B. Vallecas S.O.S</v>
      </c>
      <c r="E15" s="9">
        <f>tRealMM[[#This Row],[Tiempo1]]</f>
        <v>0.11743055555555555</v>
      </c>
      <c r="F15" s="9" t="str">
        <f>_xlfn.LET(
    _xlpm.k, tRealMM[[#This Row],[Tiempo2]],
    IF(_xlpm.k="", "", _xlpm.k)
  )</f>
        <v/>
      </c>
      <c r="G15" s="10">
        <f>_xlfn.LET(
    _xlpm.k, tRealMM[[#This Row],[Puntos]],
    IF(_xlpm.k="", "", _xlpm.k)
  )</f>
        <v>5</v>
      </c>
      <c r="H1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6" spans="1:8" x14ac:dyDescent="0.2">
      <c r="A16" s="8">
        <v>13</v>
      </c>
      <c r="B16" s="8" t="str" cm="1">
        <f t="array" aca="1" ref="B1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DIAZ BERGADO, LUIS IGNACIO</v>
      </c>
      <c r="C16" s="8" cm="1">
        <f t="array" aca="1" ref="C16" ca="1">INDEX(tRealMM[Año],RANDBETWEEN(1,ROWS(tRealMM[Apellido2])))</f>
        <v>1964</v>
      </c>
      <c r="D16" s="8" t="str" cm="1">
        <f t="array" aca="1" ref="D16" ca="1">INDEX(tRealMM[clubFórmula],RANDBETWEEN(1,ROWS(tRealMM[Apellido2])))</f>
        <v>C.D.E Pacífico Salvamento</v>
      </c>
      <c r="E16" s="9">
        <f>tRealMM[[#This Row],[Tiempo1]]</f>
        <v>0.11760416666666666</v>
      </c>
      <c r="F16" s="9" t="str">
        <f>_xlfn.LET(
    _xlpm.k, tRealMM[[#This Row],[Tiempo2]],
    IF(_xlpm.k="", "", _xlpm.k)
  )</f>
        <v/>
      </c>
      <c r="G16" s="10">
        <f>_xlfn.LET(
    _xlpm.k, tRealMM[[#This Row],[Puntos]],
    IF(_xlpm.k="", "", _xlpm.k)
  )</f>
        <v>4</v>
      </c>
      <c r="H1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7" spans="1:8" x14ac:dyDescent="0.2">
      <c r="A17" s="8">
        <v>14</v>
      </c>
      <c r="B17" s="8" t="str" cm="1">
        <f t="array" aca="1" ref="B1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VIEJO TRILLA, FERNANDO</v>
      </c>
      <c r="C17" s="8" cm="1">
        <f t="array" aca="1" ref="C17" ca="1">INDEX(tRealMM[Año],RANDBETWEEN(1,ROWS(tRealMM[Apellido2])))</f>
        <v>1993</v>
      </c>
      <c r="D17" s="8" t="str" cm="1">
        <f t="array" aca="1" ref="D17" ca="1">INDEX(tRealMM[clubFórmula],RANDBETWEEN(1,ROWS(tRealMM[Apellido2])))</f>
        <v>Club Deportivo Oca S.O.S</v>
      </c>
      <c r="E17" s="9">
        <f>tRealMM[[#This Row],[Tiempo1]]</f>
        <v>0.12512731481481482</v>
      </c>
      <c r="F17" s="9" t="str">
        <f>_xlfn.LET(
    _xlpm.k, tRealMM[[#This Row],[Tiempo2]],
    IF(_xlpm.k="", "", _xlpm.k)
  )</f>
        <v/>
      </c>
      <c r="G17" s="10">
        <f>_xlfn.LET(
    _xlpm.k, tRealMM[[#This Row],[Puntos]],
    IF(_xlpm.k="", "", _xlpm.k)
  )</f>
        <v>3</v>
      </c>
      <c r="H1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8" spans="1:8" x14ac:dyDescent="0.2">
      <c r="A18" s="8">
        <v>15</v>
      </c>
      <c r="B18" s="8" t="str" cm="1">
        <f t="array" aca="1" ref="B1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SANCHEZ ATTILA, DAVID</v>
      </c>
      <c r="C18" s="8" cm="1">
        <f t="array" aca="1" ref="C18" ca="1">INDEX(tRealMM[Año],RANDBETWEEN(1,ROWS(tRealMM[Apellido2])))</f>
        <v>1994</v>
      </c>
      <c r="D18" s="8" t="str" cm="1">
        <f t="array" aca="1" ref="D18" ca="1">INDEX(tRealMM[clubFórmula],RANDBETWEEN(1,ROWS(tRealMM[Apellido2])))</f>
        <v>C.D.E Pacífico Salvamento</v>
      </c>
      <c r="E18" s="9">
        <f>tRealMM[[#This Row],[Tiempo1]]</f>
        <v>0.14886574074074074</v>
      </c>
      <c r="F18" s="9" t="str">
        <f>_xlfn.LET(
    _xlpm.k, tRealMM[[#This Row],[Tiempo2]],
    IF(_xlpm.k="", "", _xlpm.k)
  )</f>
        <v/>
      </c>
      <c r="G18" s="10" t="str">
        <f>_xlfn.LET(
    _xlpm.k, tRealMM[[#This Row],[Puntos]],
    IF(_xlpm.k="", "", _xlpm.k)
  )</f>
        <v/>
      </c>
      <c r="H1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19" spans="1:8" x14ac:dyDescent="0.2">
      <c r="A19" s="8">
        <v>16</v>
      </c>
      <c r="B19" s="8" t="str" cm="1">
        <f t="array" aca="1" ref="B1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VÁZQUEZ GARCIA, LUIS ENRIQUE</v>
      </c>
      <c r="C19" s="8" cm="1">
        <f t="array" aca="1" ref="C19" ca="1">INDEX(tRealMM[Año],RANDBETWEEN(1,ROWS(tRealMM[Apellido2])))</f>
        <v>1979</v>
      </c>
      <c r="D19" s="8" t="str" cm="1">
        <f t="array" aca="1" ref="D19" ca="1">INDEX(tRealMM[clubFórmula],RANDBETWEEN(1,ROWS(tRealMM[Apellido2])))</f>
        <v>Club Natación SOS Bétera</v>
      </c>
      <c r="E19" s="9">
        <f>tRealMM[[#This Row],[Tiempo1]]</f>
        <v>0.15724537037037037</v>
      </c>
      <c r="F19" s="9" t="str">
        <f>_xlfn.LET(
    _xlpm.k, tRealMM[[#This Row],[Tiempo2]],
    IF(_xlpm.k="", "", _xlpm.k)
  )</f>
        <v/>
      </c>
      <c r="G19" s="10">
        <f>_xlfn.LET(
    _xlpm.k, tRealMM[[#This Row],[Puntos]],
    IF(_xlpm.k="", "", _xlpm.k)
  )</f>
        <v>1</v>
      </c>
      <c r="H1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20" spans="1:8" x14ac:dyDescent="0.2">
      <c r="A20" s="8">
        <v>17</v>
      </c>
      <c r="B20" s="8" t="str" cm="1">
        <f t="array" aca="1" ref="B2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HERNAIZ, BRAULIO</v>
      </c>
      <c r="C20" s="8" cm="1">
        <f t="array" aca="1" ref="C20" ca="1">INDEX(tRealMM[Año],RANDBETWEEN(1,ROWS(tRealMM[Apellido2])))</f>
        <v>1966</v>
      </c>
      <c r="D20" s="8" t="str" cm="1">
        <f t="array" aca="1" ref="D20" ca="1">INDEX(tRealMM[clubFórmula],RANDBETWEEN(1,ROWS(tRealMM[Apellido2])))</f>
        <v>Club Natación Martiánez Coral Hotels</v>
      </c>
      <c r="E20" s="9" t="str">
        <f>tRealMM[[#This Row],[Tiempo1]]</f>
        <v>Baja</v>
      </c>
      <c r="F20" s="9" t="str">
        <f>_xlfn.LET(
    _xlpm.k, tRealMM[[#This Row],[Tiempo2]],
    IF(_xlpm.k="", "", _xlpm.k)
  )</f>
        <v/>
      </c>
      <c r="G20" s="10" t="str">
        <f>_xlfn.LET(
    _xlpm.k, tRealMM[[#This Row],[Puntos]],
    IF(_xlpm.k="", "", _xlpm.k)
  )</f>
        <v/>
      </c>
      <c r="H2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21" spans="1:8" x14ac:dyDescent="0.2">
      <c r="A21" s="8">
        <v>18</v>
      </c>
      <c r="B21" s="8" t="str" cm="1">
        <f t="array" aca="1" ref="B2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CAMARERO IBAÑEZ, ELISEO</v>
      </c>
      <c r="C21" s="8" cm="1">
        <f t="array" aca="1" ref="C21" ca="1">INDEX(tRealMM[Año],RANDBETWEEN(1,ROWS(tRealMM[Apellido2])))</f>
        <v>1954</v>
      </c>
      <c r="D21" s="8" t="str" cm="1">
        <f t="array" aca="1" ref="D21" ca="1">INDEX(tRealMM[clubFórmula],RANDBETWEEN(1,ROWS(tRealMM[Apellido2])))</f>
        <v>C.D.B. Vallecas S.O.S</v>
      </c>
      <c r="E21" s="9" t="str">
        <f>tRealMM[[#This Row],[Tiempo1]]</f>
        <v>Baja</v>
      </c>
      <c r="F21" s="9" t="str">
        <f>_xlfn.LET(
    _xlpm.k, tRealMM[[#This Row],[Tiempo2]],
    IF(_xlpm.k="", "", _xlpm.k)
  )</f>
        <v/>
      </c>
      <c r="G21" s="10" t="str">
        <f>_xlfn.LET(
    _xlpm.k, tRealMM[[#This Row],[Puntos]],
    IF(_xlpm.k="", "", _xlpm.k)
  )</f>
        <v/>
      </c>
      <c r="H2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30-34</v>
      </c>
    </row>
    <row r="22" spans="1:8" x14ac:dyDescent="0.2">
      <c r="A22" s="8">
        <v>19</v>
      </c>
      <c r="B22" s="8" t="str" cm="1">
        <f t="array" aca="1" ref="B2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VARGA PIÑA, RUBEN</v>
      </c>
      <c r="C22" s="8" cm="1">
        <f t="array" aca="1" ref="C22" ca="1">INDEX(tRealMM[Año],RANDBETWEEN(1,ROWS(tRealMM[Apellido2])))</f>
        <v>1967</v>
      </c>
      <c r="D22" s="8" t="str" cm="1">
        <f t="array" aca="1" ref="D22" ca="1">INDEX(tRealMM[clubFórmula],RANDBETWEEN(1,ROWS(tRealMM[Apellido2])))</f>
        <v>C.D.B. Vallecas S.O.S</v>
      </c>
      <c r="E22" s="9">
        <f>tRealMM[[#This Row],[Tiempo1]]</f>
        <v>8.8460648148148149E-2</v>
      </c>
      <c r="F22" s="9" t="str">
        <f>_xlfn.LET(
    _xlpm.k, tRealMM[[#This Row],[Tiempo2]],
    IF(_xlpm.k="", "", _xlpm.k)
  )</f>
        <v/>
      </c>
      <c r="G22" s="10">
        <f>_xlfn.LET(
    _xlpm.k, tRealMM[[#This Row],[Puntos]],
    IF(_xlpm.k="", "", _xlpm.k)
  )</f>
        <v>20</v>
      </c>
      <c r="H2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3" spans="1:8" x14ac:dyDescent="0.2">
      <c r="A23" s="8">
        <v>20</v>
      </c>
      <c r="B23" s="8" t="str" cm="1">
        <f t="array" aca="1" ref="B2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GORDÓN DIEZ, FERNANDO</v>
      </c>
      <c r="C23" s="8" cm="1">
        <f t="array" aca="1" ref="C23" ca="1">INDEX(tRealMM[Año],RANDBETWEEN(1,ROWS(tRealMM[Apellido2])))</f>
        <v>1970</v>
      </c>
      <c r="D23" s="8" t="str" cm="1">
        <f t="array" aca="1" ref="D23" ca="1">INDEX(tRealMM[clubFórmula],RANDBETWEEN(1,ROWS(tRealMM[Apellido2])))</f>
        <v>Club Acuático Umia</v>
      </c>
      <c r="E23" s="9">
        <f>tRealMM[[#This Row],[Tiempo1]]</f>
        <v>9.8090277777777776E-2</v>
      </c>
      <c r="F23" s="9" t="str">
        <f>_xlfn.LET(
    _xlpm.k, tRealMM[[#This Row],[Tiempo2]],
    IF(_xlpm.k="", "", _xlpm.k)
  )</f>
        <v/>
      </c>
      <c r="G23" s="10">
        <f>_xlfn.LET(
    _xlpm.k, tRealMM[[#This Row],[Puntos]],
    IF(_xlpm.k="", "", _xlpm.k)
  )</f>
        <v>18</v>
      </c>
      <c r="H2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4" spans="1:8" x14ac:dyDescent="0.2">
      <c r="A24" s="8">
        <v>21</v>
      </c>
      <c r="B24" s="8" t="str" cm="1">
        <f t="array" aca="1" ref="B2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POLO SIERRA, JAVIER</v>
      </c>
      <c r="C24" s="8" cm="1">
        <f t="array" aca="1" ref="C24" ca="1">INDEX(tRealMM[Año],RANDBETWEEN(1,ROWS(tRealMM[Apellido2])))</f>
        <v>1983</v>
      </c>
      <c r="D24" s="8" t="str" cm="1">
        <f t="array" aca="1" ref="D24" ca="1">INDEX(tRealMM[clubFórmula],RANDBETWEEN(1,ROWS(tRealMM[Apellido2])))</f>
        <v>Club Natación SOS Bétera</v>
      </c>
      <c r="E24" s="9">
        <f>tRealMM[[#This Row],[Tiempo1]]</f>
        <v>9.8599537037037041E-2</v>
      </c>
      <c r="F24" s="9" t="str">
        <f>_xlfn.LET(
    _xlpm.k, tRealMM[[#This Row],[Tiempo2]],
    IF(_xlpm.k="", "", _xlpm.k)
  )</f>
        <v/>
      </c>
      <c r="G24" s="10">
        <f>_xlfn.LET(
    _xlpm.k, tRealMM[[#This Row],[Puntos]],
    IF(_xlpm.k="", "", _xlpm.k)
  )</f>
        <v>16</v>
      </c>
      <c r="H2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5" spans="1:8" x14ac:dyDescent="0.2">
      <c r="A25" s="8">
        <v>22</v>
      </c>
      <c r="B25" s="8" t="str" cm="1">
        <f t="array" aca="1" ref="B2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LOUREIRO FERNANDEZ, FERNANDO</v>
      </c>
      <c r="C25" s="8" cm="1">
        <f t="array" aca="1" ref="C25" ca="1">INDEX(tRealMM[Año],RANDBETWEEN(1,ROWS(tRealMM[Apellido2])))</f>
        <v>1970</v>
      </c>
      <c r="D25" s="8" t="str" cm="1">
        <f t="array" aca="1" ref="D25" ca="1">INDEX(tRealMM[clubFórmula],RANDBETWEEN(1,ROWS(tRealMM[Apellido2])))</f>
        <v>Alcarreño de Salvamento y Socorrismo</v>
      </c>
      <c r="E25" s="9">
        <f>tRealMM[[#This Row],[Tiempo1]]</f>
        <v>0.10087962962962962</v>
      </c>
      <c r="F25" s="9" t="str">
        <f>_xlfn.LET(
    _xlpm.k, tRealMM[[#This Row],[Tiempo2]],
    IF(_xlpm.k="", "", _xlpm.k)
  )</f>
        <v/>
      </c>
      <c r="G25" s="10">
        <f>_xlfn.LET(
    _xlpm.k, tRealMM[[#This Row],[Puntos]],
    IF(_xlpm.k="", "", _xlpm.k)
  )</f>
        <v>14</v>
      </c>
      <c r="H2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6" spans="1:8" x14ac:dyDescent="0.2">
      <c r="A26" s="8">
        <v>23</v>
      </c>
      <c r="B26" s="8" t="str" cm="1">
        <f t="array" aca="1" ref="B2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CANAL ALONSO, JOSE ANTONIO</v>
      </c>
      <c r="C26" s="8" cm="1">
        <f t="array" aca="1" ref="C26" ca="1">INDEX(tRealMM[Año],RANDBETWEEN(1,ROWS(tRealMM[Apellido2])))</f>
        <v>1966</v>
      </c>
      <c r="D26" s="8" t="str" cm="1">
        <f t="array" aca="1" ref="D26" ca="1">INDEX(tRealMM[clubFórmula],RANDBETWEEN(1,ROWS(tRealMM[Apellido2])))</f>
        <v>Club Leucante</v>
      </c>
      <c r="E26" s="9">
        <f>tRealMM[[#This Row],[Tiempo1]]</f>
        <v>0.10159722222222223</v>
      </c>
      <c r="F26" s="9" t="str">
        <f>_xlfn.LET(
    _xlpm.k, tRealMM[[#This Row],[Tiempo2]],
    IF(_xlpm.k="", "", _xlpm.k)
  )</f>
        <v/>
      </c>
      <c r="G26" s="10">
        <f>_xlfn.LET(
    _xlpm.k, tRealMM[[#This Row],[Puntos]],
    IF(_xlpm.k="", "", _xlpm.k)
  )</f>
        <v>13</v>
      </c>
      <c r="H2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7" spans="1:8" x14ac:dyDescent="0.2">
      <c r="A27" s="8">
        <v>24</v>
      </c>
      <c r="B27" s="8" t="str" cm="1">
        <f t="array" aca="1" ref="B2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PIQUERO RODRIGUEZ, JAVIER</v>
      </c>
      <c r="C27" s="8" cm="1">
        <f t="array" aca="1" ref="C27" ca="1">INDEX(tRealMM[Año],RANDBETWEEN(1,ROWS(tRealMM[Apellido2])))</f>
        <v>1956</v>
      </c>
      <c r="D27" s="8" t="str" cm="1">
        <f t="array" aca="1" ref="D27" ca="1">INDEX(tRealMM[clubFórmula],RANDBETWEEN(1,ROWS(tRealMM[Apellido2])))</f>
        <v>C.D.B. Vallecas S.O.S</v>
      </c>
      <c r="E27" s="9">
        <f>tRealMM[[#This Row],[Tiempo1]]</f>
        <v>0.10494212962962964</v>
      </c>
      <c r="F27" s="9" t="str">
        <f>_xlfn.LET(
    _xlpm.k, tRealMM[[#This Row],[Tiempo2]],
    IF(_xlpm.k="", "", _xlpm.k)
  )</f>
        <v/>
      </c>
      <c r="G27" s="10">
        <f>_xlfn.LET(
    _xlpm.k, tRealMM[[#This Row],[Puntos]],
    IF(_xlpm.k="", "", _xlpm.k)
  )</f>
        <v>12</v>
      </c>
      <c r="H2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35-39</v>
      </c>
    </row>
    <row r="28" spans="1:8" x14ac:dyDescent="0.2">
      <c r="A28" s="8">
        <v>25</v>
      </c>
      <c r="B28" s="8" t="str" cm="1">
        <f t="array" aca="1" ref="B2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CAMPOS CEJAS, DANIEL</v>
      </c>
      <c r="C28" s="8" cm="1">
        <f t="array" aca="1" ref="C28" ca="1">INDEX(tRealMM[Año],RANDBETWEEN(1,ROWS(tRealMM[Apellido2])))</f>
        <v>1993</v>
      </c>
      <c r="D28" s="8" t="str" cm="1">
        <f t="array" aca="1" ref="D28" ca="1">INDEX(tRealMM[clubFórmula],RANDBETWEEN(1,ROWS(tRealMM[Apellido2])))</f>
        <v>Club Deportivo Oca S.O.S</v>
      </c>
      <c r="E28" s="9">
        <f>tRealMM[[#This Row],[Tiempo1]]</f>
        <v>9.0474537037037034E-2</v>
      </c>
      <c r="F28" s="9" t="str">
        <f>_xlfn.LET(
    _xlpm.k, tRealMM[[#This Row],[Tiempo2]],
    IF(_xlpm.k="", "", _xlpm.k)
  )</f>
        <v/>
      </c>
      <c r="G28" s="10">
        <f>_xlfn.LET(
    _xlpm.k, tRealMM[[#This Row],[Puntos]],
    IF(_xlpm.k="", "", _xlpm.k)
  )</f>
        <v>20</v>
      </c>
      <c r="H2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29" spans="1:8" x14ac:dyDescent="0.2">
      <c r="A29" s="8">
        <v>26</v>
      </c>
      <c r="B29" s="8" t="str" cm="1">
        <f t="array" aca="1" ref="B2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JORGE MARTÍN, ALEJANDRO</v>
      </c>
      <c r="C29" s="8" cm="1">
        <f t="array" aca="1" ref="C29" ca="1">INDEX(tRealMM[Año],RANDBETWEEN(1,ROWS(tRealMM[Apellido2])))</f>
        <v>1976</v>
      </c>
      <c r="D29" s="8" t="str" cm="1">
        <f t="array" aca="1" ref="D29" ca="1">INDEX(tRealMM[clubFórmula],RANDBETWEEN(1,ROWS(tRealMM[Apellido2])))</f>
        <v>Club Natación y Salvamento Albasit</v>
      </c>
      <c r="E29" s="9">
        <f>tRealMM[[#This Row],[Tiempo1]]</f>
        <v>9.4050925925925927E-2</v>
      </c>
      <c r="F29" s="9" t="str">
        <f>_xlfn.LET(
    _xlpm.k, tRealMM[[#This Row],[Tiempo2]],
    IF(_xlpm.k="", "", _xlpm.k)
  )</f>
        <v/>
      </c>
      <c r="G29" s="10">
        <f>_xlfn.LET(
    _xlpm.k, tRealMM[[#This Row],[Puntos]],
    IF(_xlpm.k="", "", _xlpm.k)
  )</f>
        <v>18</v>
      </c>
      <c r="H2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0" spans="1:8" x14ac:dyDescent="0.2">
      <c r="A30" s="8">
        <v>27</v>
      </c>
      <c r="B30" s="8" t="str" cm="1">
        <f t="array" aca="1" ref="B3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MARTIJN TORRES, LUIS CARLOS</v>
      </c>
      <c r="C30" s="8" cm="1">
        <f t="array" aca="1" ref="C30" ca="1">INDEX(tRealMM[Año],RANDBETWEEN(1,ROWS(tRealMM[Apellido2])))</f>
        <v>1978</v>
      </c>
      <c r="D30" s="8" t="str" cm="1">
        <f t="array" aca="1" ref="D30" ca="1">INDEX(tRealMM[clubFórmula],RANDBETWEEN(1,ROWS(tRealMM[Apellido2])))</f>
        <v>Club Deportivo Oca S.O.S</v>
      </c>
      <c r="E30" s="9">
        <f>tRealMM[[#This Row],[Tiempo1]]</f>
        <v>0.10081018518518518</v>
      </c>
      <c r="F30" s="9" t="str">
        <f>_xlfn.LET(
    _xlpm.k, tRealMM[[#This Row],[Tiempo2]],
    IF(_xlpm.k="", "", _xlpm.k)
  )</f>
        <v/>
      </c>
      <c r="G30" s="10">
        <f>_xlfn.LET(
    _xlpm.k, tRealMM[[#This Row],[Puntos]],
    IF(_xlpm.k="", "", _xlpm.k)
  )</f>
        <v>16</v>
      </c>
      <c r="H3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1" spans="1:8" x14ac:dyDescent="0.2">
      <c r="A31" s="8">
        <v>28</v>
      </c>
      <c r="B31" s="8" t="str" cm="1">
        <f t="array" aca="1" ref="B3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CRESPO NAVARRO, MANUEL</v>
      </c>
      <c r="C31" s="8" cm="1">
        <f t="array" aca="1" ref="C31" ca="1">INDEX(tRealMM[Año],RANDBETWEEN(1,ROWS(tRealMM[Apellido2])))</f>
        <v>1982</v>
      </c>
      <c r="D31" s="8" t="str" cm="1">
        <f t="array" aca="1" ref="D31" ca="1">INDEX(tRealMM[clubFórmula],RANDBETWEEN(1,ROWS(tRealMM[Apellido2])))</f>
        <v>Loredo Surf Life Saving</v>
      </c>
      <c r="E31" s="9">
        <f>tRealMM[[#This Row],[Tiempo1]]</f>
        <v>0.104375</v>
      </c>
      <c r="F31" s="9" t="str">
        <f>_xlfn.LET(
    _xlpm.k, tRealMM[[#This Row],[Tiempo2]],
    IF(_xlpm.k="", "", _xlpm.k)
  )</f>
        <v/>
      </c>
      <c r="G31" s="10">
        <f>_xlfn.LET(
    _xlpm.k, tRealMM[[#This Row],[Puntos]],
    IF(_xlpm.k="", "", _xlpm.k)
  )</f>
        <v>14</v>
      </c>
      <c r="H3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32" spans="1:8" x14ac:dyDescent="0.2">
      <c r="A32" s="8">
        <v>29</v>
      </c>
      <c r="B32" s="8" t="str" cm="1">
        <f t="array" aca="1" ref="B3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BARAIBAR TORRES, LUIS</v>
      </c>
      <c r="C32" s="8" cm="1">
        <f t="array" aca="1" ref="C32" ca="1">INDEX(tRealMM[Año],RANDBETWEEN(1,ROWS(tRealMM[Apellido2])))</f>
        <v>1988</v>
      </c>
      <c r="D32" s="8" t="str" cm="1">
        <f t="array" aca="1" ref="D32" ca="1">INDEX(tRealMM[clubFórmula],RANDBETWEEN(1,ROWS(tRealMM[Apellido2])))</f>
        <v>Loredo Surf Life Saving</v>
      </c>
      <c r="E32" s="9">
        <f>tRealMM[[#This Row],[Tiempo1]]</f>
        <v>0.10657407407407407</v>
      </c>
      <c r="F32" s="9" t="str">
        <f>_xlfn.LET(
    _xlpm.k, tRealMM[[#This Row],[Tiempo2]],
    IF(_xlpm.k="", "", _xlpm.k)
  )</f>
        <v/>
      </c>
      <c r="G32" s="10">
        <f>_xlfn.LET(
    _xlpm.k, tRealMM[[#This Row],[Puntos]],
    IF(_xlpm.k="", "", _xlpm.k)
  )</f>
        <v>13</v>
      </c>
      <c r="H3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3" spans="1:8" x14ac:dyDescent="0.2">
      <c r="A33" s="8">
        <v>30</v>
      </c>
      <c r="B33" s="8" t="str" cm="1">
        <f t="array" aca="1" ref="B3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MARTÍN, EDUARDO</v>
      </c>
      <c r="C33" s="8" cm="1">
        <f t="array" aca="1" ref="C33" ca="1">INDEX(tRealMM[Año],RANDBETWEEN(1,ROWS(tRealMM[Apellido2])))</f>
        <v>1976</v>
      </c>
      <c r="D33" s="8" t="str" cm="1">
        <f t="array" aca="1" ref="D33" ca="1">INDEX(tRealMM[clubFórmula],RANDBETWEEN(1,ROWS(tRealMM[Apellido2])))</f>
        <v>C.D.E Pacífico Salvamento</v>
      </c>
      <c r="E33" s="9">
        <f>tRealMM[[#This Row],[Tiempo1]]</f>
        <v>0.11302083333333333</v>
      </c>
      <c r="F33" s="9" t="str">
        <f>_xlfn.LET(
    _xlpm.k, tRealMM[[#This Row],[Tiempo2]],
    IF(_xlpm.k="", "", _xlpm.k)
  )</f>
        <v/>
      </c>
      <c r="G33" s="10">
        <f>_xlfn.LET(
    _xlpm.k, tRealMM[[#This Row],[Puntos]],
    IF(_xlpm.k="", "", _xlpm.k)
  )</f>
        <v>12</v>
      </c>
      <c r="H3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4" spans="1:8" x14ac:dyDescent="0.2">
      <c r="A34" s="8">
        <v>31</v>
      </c>
      <c r="B34" s="8" t="str" cm="1">
        <f t="array" aca="1" ref="B3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SAN ROMAN LIAÑO, JUAN</v>
      </c>
      <c r="C34" s="8" cm="1">
        <f t="array" aca="1" ref="C34" ca="1">INDEX(tRealMM[Año],RANDBETWEEN(1,ROWS(tRealMM[Apellido2])))</f>
        <v>1995</v>
      </c>
      <c r="D34" s="8" t="str" cm="1">
        <f t="array" aca="1" ref="D34" ca="1">INDEX(tRealMM[clubFórmula],RANDBETWEEN(1,ROWS(tRealMM[Apellido2])))</f>
        <v>Alcarreño de Salvamento y Socorrismo</v>
      </c>
      <c r="E34" s="9">
        <f>tRealMM[[#This Row],[Tiempo1]]</f>
        <v>0.11347222222222222</v>
      </c>
      <c r="F34" s="9" t="str">
        <f>_xlfn.LET(
    _xlpm.k, tRealMM[[#This Row],[Tiempo2]],
    IF(_xlpm.k="", "", _xlpm.k)
  )</f>
        <v/>
      </c>
      <c r="G34" s="10">
        <f>_xlfn.LET(
    _xlpm.k, tRealMM[[#This Row],[Puntos]],
    IF(_xlpm.k="", "", _xlpm.k)
  )</f>
        <v>11</v>
      </c>
      <c r="H3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5" spans="1:8" x14ac:dyDescent="0.2">
      <c r="A35" s="8">
        <v>32</v>
      </c>
      <c r="B35" s="8" t="str" cm="1">
        <f t="array" aca="1" ref="B3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ODRIOZOLA DE MANZANOS, ALFREDO</v>
      </c>
      <c r="C35" s="8" cm="1">
        <f t="array" aca="1" ref="C35" ca="1">INDEX(tRealMM[Año],RANDBETWEEN(1,ROWS(tRealMM[Apellido2])))</f>
        <v>1984</v>
      </c>
      <c r="D35" s="8" t="str" cm="1">
        <f t="array" aca="1" ref="D35" ca="1">INDEX(tRealMM[clubFórmula],RANDBETWEEN(1,ROWS(tRealMM[Apellido2])))</f>
        <v>Club Acuático Umia</v>
      </c>
      <c r="E35" s="9">
        <f>tRealMM[[#This Row],[Tiempo1]]</f>
        <v>0.11491898148148148</v>
      </c>
      <c r="F35" s="9" t="str">
        <f>_xlfn.LET(
    _xlpm.k, tRealMM[[#This Row],[Tiempo2]],
    IF(_xlpm.k="", "", _xlpm.k)
  )</f>
        <v/>
      </c>
      <c r="G35" s="10">
        <f>_xlfn.LET(
    _xlpm.k, tRealMM[[#This Row],[Puntos]],
    IF(_xlpm.k="", "", _xlpm.k)
  )</f>
        <v>10</v>
      </c>
      <c r="H3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6" spans="1:8" x14ac:dyDescent="0.2">
      <c r="A36" s="8">
        <v>33</v>
      </c>
      <c r="B36" s="8" t="str" cm="1">
        <f t="array" aca="1" ref="B3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CRUZ JIMÉNEZ, MANUEL</v>
      </c>
      <c r="C36" s="8" cm="1">
        <f t="array" aca="1" ref="C36" ca="1">INDEX(tRealMM[Año],RANDBETWEEN(1,ROWS(tRealMM[Apellido2])))</f>
        <v>1975</v>
      </c>
      <c r="D36" s="8" t="str" cm="1">
        <f t="array" aca="1" ref="D36" ca="1">INDEX(tRealMM[clubFórmula],RANDBETWEEN(1,ROWS(tRealMM[Apellido2])))</f>
        <v>Club Natación SOS Bétera</v>
      </c>
      <c r="E36" s="9">
        <f>tRealMM[[#This Row],[Tiempo1]]</f>
        <v>0.12288194444444445</v>
      </c>
      <c r="F36" s="9" t="str">
        <f>_xlfn.LET(
    _xlpm.k, tRealMM[[#This Row],[Tiempo2]],
    IF(_xlpm.k="", "", _xlpm.k)
  )</f>
        <v/>
      </c>
      <c r="G36" s="10">
        <f>_xlfn.LET(
    _xlpm.k, tRealMM[[#This Row],[Puntos]],
    IF(_xlpm.k="", "", _xlpm.k)
  )</f>
        <v>8</v>
      </c>
      <c r="H3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7" spans="1:8" x14ac:dyDescent="0.2">
      <c r="A37" s="8">
        <v>34</v>
      </c>
      <c r="B37" s="8" t="str" cm="1">
        <f t="array" aca="1" ref="B3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VAZQUEZ LUIJTEN, LUIS</v>
      </c>
      <c r="C37" s="8" cm="1">
        <f t="array" aca="1" ref="C37" ca="1">INDEX(tRealMM[Año],RANDBETWEEN(1,ROWS(tRealMM[Apellido2])))</f>
        <v>1983</v>
      </c>
      <c r="D37" s="8" t="str" cm="1">
        <f t="array" aca="1" ref="D37" ca="1">INDEX(tRealMM[clubFórmula],RANDBETWEEN(1,ROWS(tRealMM[Apellido2])))</f>
        <v>Loredo Surf Life Saving</v>
      </c>
      <c r="E37" s="9">
        <f>tRealMM[[#This Row],[Tiempo1]]</f>
        <v>0.13527777777777777</v>
      </c>
      <c r="F37" s="9" t="str">
        <f>_xlfn.LET(
    _xlpm.k, tRealMM[[#This Row],[Tiempo2]],
    IF(_xlpm.k="", "", _xlpm.k)
  )</f>
        <v/>
      </c>
      <c r="G37" s="10">
        <f>_xlfn.LET(
    _xlpm.k, tRealMM[[#This Row],[Puntos]],
    IF(_xlpm.k="", "", _xlpm.k)
  )</f>
        <v>7</v>
      </c>
      <c r="H3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8" spans="1:8" x14ac:dyDescent="0.2">
      <c r="A38" s="8">
        <v>35</v>
      </c>
      <c r="B38" s="8" t="str" cm="1">
        <f t="array" aca="1" ref="B3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VIEJO CUERVO, LUIS</v>
      </c>
      <c r="C38" s="8" cm="1">
        <f t="array" aca="1" ref="C38" ca="1">INDEX(tRealMM[Año],RANDBETWEEN(1,ROWS(tRealMM[Apellido2])))</f>
        <v>1989</v>
      </c>
      <c r="D38" s="8" t="str" cm="1">
        <f t="array" aca="1" ref="D38" ca="1">INDEX(tRealMM[clubFórmula],RANDBETWEEN(1,ROWS(tRealMM[Apellido2])))</f>
        <v>C.D.E Pacífico Salvamento</v>
      </c>
      <c r="E38" s="9" t="str">
        <f>tRealMM[[#This Row],[Tiempo1]]</f>
        <v>Baja</v>
      </c>
      <c r="F38" s="9" t="str">
        <f>_xlfn.LET(
    _xlpm.k, tRealMM[[#This Row],[Tiempo2]],
    IF(_xlpm.k="", "", _xlpm.k)
  )</f>
        <v/>
      </c>
      <c r="G38" s="10" t="str">
        <f>_xlfn.LET(
    _xlpm.k, tRealMM[[#This Row],[Puntos]],
    IF(_xlpm.k="", "", _xlpm.k)
  )</f>
        <v/>
      </c>
      <c r="H3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40-44</v>
      </c>
    </row>
    <row r="39" spans="1:8" x14ac:dyDescent="0.2">
      <c r="A39" s="8">
        <v>36</v>
      </c>
      <c r="B39" s="8" t="str" cm="1">
        <f t="array" aca="1" ref="B3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CARVAJAL CASTILLO, ALVARO</v>
      </c>
      <c r="C39" s="8" cm="1">
        <f t="array" aca="1" ref="C39" ca="1">INDEX(tRealMM[Año],RANDBETWEEN(1,ROWS(tRealMM[Apellido2])))</f>
        <v>1959</v>
      </c>
      <c r="D39" s="8" t="str" cm="1">
        <f t="array" aca="1" ref="D39" ca="1">INDEX(tRealMM[clubFórmula],RANDBETWEEN(1,ROWS(tRealMM[Apellido2])))</f>
        <v>Club Deportivo Oca S.O.S</v>
      </c>
      <c r="E39" s="9">
        <f>tRealMM[[#This Row],[Tiempo1]]</f>
        <v>0.10107638888888888</v>
      </c>
      <c r="F39" s="9" t="str">
        <f>_xlfn.LET(
    _xlpm.k, tRealMM[[#This Row],[Tiempo2]],
    IF(_xlpm.k="", "", _xlpm.k)
  )</f>
        <v/>
      </c>
      <c r="G39" s="10">
        <f>_xlfn.LET(
    _xlpm.k, tRealMM[[#This Row],[Puntos]],
    IF(_xlpm.k="", "", _xlpm.k)
  )</f>
        <v>20</v>
      </c>
      <c r="H3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0" spans="1:8" x14ac:dyDescent="0.2">
      <c r="A40" s="8">
        <v>37</v>
      </c>
      <c r="B40" s="8" t="str" cm="1">
        <f t="array" aca="1" ref="B4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SIMÓN JIMÉNEZ, MANUEL</v>
      </c>
      <c r="C40" s="8" cm="1">
        <f t="array" aca="1" ref="C40" ca="1">INDEX(tRealMM[Año],RANDBETWEEN(1,ROWS(tRealMM[Apellido2])))</f>
        <v>1993</v>
      </c>
      <c r="D40" s="8" t="str" cm="1">
        <f t="array" aca="1" ref="D40" ca="1">INDEX(tRealMM[clubFórmula],RANDBETWEEN(1,ROWS(tRealMM[Apellido2])))</f>
        <v>C.D.E Pacífico Salvamento</v>
      </c>
      <c r="E40" s="9">
        <f>tRealMM[[#This Row],[Tiempo1]]</f>
        <v>0.10209490740740741</v>
      </c>
      <c r="F40" s="9" t="str">
        <f>_xlfn.LET(
    _xlpm.k, tRealMM[[#This Row],[Tiempo2]],
    IF(_xlpm.k="", "", _xlpm.k)
  )</f>
        <v/>
      </c>
      <c r="G40" s="10">
        <f>_xlfn.LET(
    _xlpm.k, tRealMM[[#This Row],[Puntos]],
    IF(_xlpm.k="", "", _xlpm.k)
  )</f>
        <v>18</v>
      </c>
      <c r="H4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1" spans="1:8" x14ac:dyDescent="0.2">
      <c r="A41" s="8">
        <v>38</v>
      </c>
      <c r="B41" s="8" t="str" cm="1">
        <f t="array" aca="1" ref="B4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DE LA PLAZA FLORES, MIGUEL</v>
      </c>
      <c r="C41" s="8" cm="1">
        <f t="array" aca="1" ref="C41" ca="1">INDEX(tRealMM[Año],RANDBETWEEN(1,ROWS(tRealMM[Apellido2])))</f>
        <v>1978</v>
      </c>
      <c r="D41" s="8" t="str" cm="1">
        <f t="array" aca="1" ref="D41" ca="1">INDEX(tRealMM[clubFórmula],RANDBETWEEN(1,ROWS(tRealMM[Apellido2])))</f>
        <v>C.D.E Máster Arganda</v>
      </c>
      <c r="E41" s="9">
        <f>tRealMM[[#This Row],[Tiempo1]]</f>
        <v>0.10582175925925925</v>
      </c>
      <c r="F41" s="9" t="str">
        <f>_xlfn.LET(
    _xlpm.k, tRealMM[[#This Row],[Tiempo2]],
    IF(_xlpm.k="", "", _xlpm.k)
  )</f>
        <v/>
      </c>
      <c r="G41" s="10">
        <f>_xlfn.LET(
    _xlpm.k, tRealMM[[#This Row],[Puntos]],
    IF(_xlpm.k="", "", _xlpm.k)
  )</f>
        <v>16</v>
      </c>
      <c r="H4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2" spans="1:8" x14ac:dyDescent="0.2">
      <c r="A42" s="8">
        <v>39</v>
      </c>
      <c r="B42" s="8" t="str" cm="1">
        <f t="array" aca="1" ref="B4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CORDERO PLANELLS, MIGUEL</v>
      </c>
      <c r="C42" s="8" cm="1">
        <f t="array" aca="1" ref="C42" ca="1">INDEX(tRealMM[Año],RANDBETWEEN(1,ROWS(tRealMM[Apellido2])))</f>
        <v>1976</v>
      </c>
      <c r="D42" s="8" t="str" cm="1">
        <f t="array" aca="1" ref="D42" ca="1">INDEX(tRealMM[clubFórmula],RANDBETWEEN(1,ROWS(tRealMM[Apellido2])))</f>
        <v>C.D.B. Vallecas S.O.S</v>
      </c>
      <c r="E42" s="9">
        <f>tRealMM[[#This Row],[Tiempo1]]</f>
        <v>0.10589120370370371</v>
      </c>
      <c r="F42" s="9" t="str">
        <f>_xlfn.LET(
    _xlpm.k, tRealMM[[#This Row],[Tiempo2]],
    IF(_xlpm.k="", "", _xlpm.k)
  )</f>
        <v/>
      </c>
      <c r="G42" s="10">
        <f>_xlfn.LET(
    _xlpm.k, tRealMM[[#This Row],[Puntos]],
    IF(_xlpm.k="", "", _xlpm.k)
  )</f>
        <v>14</v>
      </c>
      <c r="H4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3" spans="1:8" x14ac:dyDescent="0.2">
      <c r="A43" s="8">
        <v>40</v>
      </c>
      <c r="B43" s="8" t="str" cm="1">
        <f t="array" aca="1" ref="B4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MORA RODRIGUEZ, ANTONIO</v>
      </c>
      <c r="C43" s="8" cm="1">
        <f t="array" aca="1" ref="C43" ca="1">INDEX(tRealMM[Año],RANDBETWEEN(1,ROWS(tRealMM[Apellido2])))</f>
        <v>1962</v>
      </c>
      <c r="D43" s="8" t="str" cm="1">
        <f t="array" aca="1" ref="D43" ca="1">INDEX(tRealMM[clubFórmula],RANDBETWEEN(1,ROWS(tRealMM[Apellido2])))</f>
        <v>Club Deportivo Sirenas de Catarroja</v>
      </c>
      <c r="E43" s="9">
        <f>tRealMM[[#This Row],[Tiempo1]]</f>
        <v>0.10803240740740741</v>
      </c>
      <c r="F43" s="9" t="str">
        <f>_xlfn.LET(
    _xlpm.k, tRealMM[[#This Row],[Tiempo2]],
    IF(_xlpm.k="", "", _xlpm.k)
  )</f>
        <v/>
      </c>
      <c r="G43" s="10">
        <f>_xlfn.LET(
    _xlpm.k, tRealMM[[#This Row],[Puntos]],
    IF(_xlpm.k="", "", _xlpm.k)
  )</f>
        <v>13</v>
      </c>
      <c r="H4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4" spans="1:8" x14ac:dyDescent="0.2">
      <c r="A44" s="8">
        <v>41</v>
      </c>
      <c r="B44" s="8" t="str" cm="1">
        <f t="array" aca="1" ref="B4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CARVAJAL GARCIA, RUBÉN</v>
      </c>
      <c r="C44" s="8" cm="1">
        <f t="array" aca="1" ref="C44" ca="1">INDEX(tRealMM[Año],RANDBETWEEN(1,ROWS(tRealMM[Apellido2])))</f>
        <v>1978</v>
      </c>
      <c r="D44" s="8" t="str" cm="1">
        <f t="array" aca="1" ref="D44" ca="1">INDEX(tRealMM[clubFórmula],RANDBETWEEN(1,ROWS(tRealMM[Apellido2])))</f>
        <v>Escuela Salvamento Almendralejo</v>
      </c>
      <c r="E44" s="9">
        <f>tRealMM[[#This Row],[Tiempo1]]</f>
        <v>0.10835648148148148</v>
      </c>
      <c r="F44" s="9" t="str">
        <f>_xlfn.LET(
    _xlpm.k, tRealMM[[#This Row],[Tiempo2]],
    IF(_xlpm.k="", "", _xlpm.k)
  )</f>
        <v/>
      </c>
      <c r="G44" s="10">
        <f>_xlfn.LET(
    _xlpm.k, tRealMM[[#This Row],[Puntos]],
    IF(_xlpm.k="", "", _xlpm.k)
  )</f>
        <v>12</v>
      </c>
      <c r="H4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5" spans="1:8" x14ac:dyDescent="0.2">
      <c r="A45" s="8">
        <v>42</v>
      </c>
      <c r="B45" s="8" t="str" cm="1">
        <f t="array" aca="1" ref="B4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VÁZQUEZ BERGADO, MANUEL</v>
      </c>
      <c r="C45" s="8" cm="1">
        <f t="array" aca="1" ref="C45" ca="1">INDEX(tRealMM[Año],RANDBETWEEN(1,ROWS(tRealMM[Apellido2])))</f>
        <v>1967</v>
      </c>
      <c r="D45" s="8" t="str" cm="1">
        <f t="array" aca="1" ref="D45" ca="1">INDEX(tRealMM[clubFórmula],RANDBETWEEN(1,ROWS(tRealMM[Apellido2])))</f>
        <v>C.D.E Pacífico Salvamento</v>
      </c>
      <c r="E45" s="9">
        <f>tRealMM[[#This Row],[Tiempo1]]</f>
        <v>0.10916666666666666</v>
      </c>
      <c r="F45" s="9" t="str">
        <f>_xlfn.LET(
    _xlpm.k, tRealMM[[#This Row],[Tiempo2]],
    IF(_xlpm.k="", "", _xlpm.k)
  )</f>
        <v/>
      </c>
      <c r="G45" s="10">
        <f>_xlfn.LET(
    _xlpm.k, tRealMM[[#This Row],[Puntos]],
    IF(_xlpm.k="", "", _xlpm.k)
  )</f>
        <v>11</v>
      </c>
      <c r="H4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6" spans="1:8" x14ac:dyDescent="0.2">
      <c r="A46" s="8">
        <v>43</v>
      </c>
      <c r="B46" s="8" t="str" cm="1">
        <f t="array" aca="1" ref="B4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MOLLA CUERVO, JUAN RAMÓN</v>
      </c>
      <c r="C46" s="8" cm="1">
        <f t="array" aca="1" ref="C46" ca="1">INDEX(tRealMM[Año],RANDBETWEEN(1,ROWS(tRealMM[Apellido2])))</f>
        <v>1992</v>
      </c>
      <c r="D46" s="8" t="str" cm="1">
        <f t="array" aca="1" ref="D46" ca="1">INDEX(tRealMM[clubFórmula],RANDBETWEEN(1,ROWS(tRealMM[Apellido2])))</f>
        <v>Club Natación Martiánez Coral Hotels</v>
      </c>
      <c r="E46" s="9">
        <f>tRealMM[[#This Row],[Tiempo1]]</f>
        <v>0.1097337962962963</v>
      </c>
      <c r="F46" s="9" t="str">
        <f>_xlfn.LET(
    _xlpm.k, tRealMM[[#This Row],[Tiempo2]],
    IF(_xlpm.k="", "", _xlpm.k)
  )</f>
        <v/>
      </c>
      <c r="G46" s="10">
        <f>_xlfn.LET(
    _xlpm.k, tRealMM[[#This Row],[Puntos]],
    IF(_xlpm.k="", "", _xlpm.k)
  )</f>
        <v>10</v>
      </c>
      <c r="H4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47" spans="1:8" x14ac:dyDescent="0.2">
      <c r="A47" s="8">
        <v>44</v>
      </c>
      <c r="B47" s="8" t="str" cm="1">
        <f t="array" aca="1" ref="B4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CORTES FREIRE, MARTIN</v>
      </c>
      <c r="C47" s="8" cm="1">
        <f t="array" aca="1" ref="C47" ca="1">INDEX(tRealMM[Año],RANDBETWEEN(1,ROWS(tRealMM[Apellido2])))</f>
        <v>1992</v>
      </c>
      <c r="D47" s="8" t="str" cm="1">
        <f t="array" aca="1" ref="D47" ca="1">INDEX(tRealMM[clubFórmula],RANDBETWEEN(1,ROWS(tRealMM[Apellido2])))</f>
        <v>Loredo Surf Life Saving</v>
      </c>
      <c r="E47" s="9">
        <f>tRealMM[[#This Row],[Tiempo1]]</f>
        <v>0.11114583333333333</v>
      </c>
      <c r="F47" s="9" t="str">
        <f>_xlfn.LET(
    _xlpm.k, tRealMM[[#This Row],[Tiempo2]],
    IF(_xlpm.k="", "", _xlpm.k)
  )</f>
        <v/>
      </c>
      <c r="G47" s="10">
        <f>_xlfn.LET(
    _xlpm.k, tRealMM[[#This Row],[Puntos]],
    IF(_xlpm.k="", "", _xlpm.k)
  )</f>
        <v>8</v>
      </c>
      <c r="H4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8" spans="1:8" x14ac:dyDescent="0.2">
      <c r="A48" s="8">
        <v>45</v>
      </c>
      <c r="B48" s="8" t="str" cm="1">
        <f t="array" aca="1" ref="B4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SUAREZ MARTINEZ, MIGUEL</v>
      </c>
      <c r="C48" s="8" cm="1">
        <f t="array" aca="1" ref="C48" ca="1">INDEX(tRealMM[Año],RANDBETWEEN(1,ROWS(tRealMM[Apellido2])))</f>
        <v>1972</v>
      </c>
      <c r="D48" s="8" t="str" cm="1">
        <f t="array" aca="1" ref="D48" ca="1">INDEX(tRealMM[clubFórmula],RANDBETWEEN(1,ROWS(tRealMM[Apellido2])))</f>
        <v>Loredo Surf Life Saving</v>
      </c>
      <c r="E48" s="9">
        <f>tRealMM[[#This Row],[Tiempo1]]</f>
        <v>0.11216435185185185</v>
      </c>
      <c r="F48" s="9" t="str">
        <f>_xlfn.LET(
    _xlpm.k, tRealMM[[#This Row],[Tiempo2]],
    IF(_xlpm.k="", "", _xlpm.k)
  )</f>
        <v/>
      </c>
      <c r="G48" s="10">
        <f>_xlfn.LET(
    _xlpm.k, tRealMM[[#This Row],[Puntos]],
    IF(_xlpm.k="", "", _xlpm.k)
  )</f>
        <v>7</v>
      </c>
      <c r="H4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49" spans="1:8" x14ac:dyDescent="0.2">
      <c r="A49" s="8">
        <v>46</v>
      </c>
      <c r="B49" s="8" t="str" cm="1">
        <f t="array" aca="1" ref="B4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MONTERO FREIRE, AQUILINO</v>
      </c>
      <c r="C49" s="8" cm="1">
        <f t="array" aca="1" ref="C49" ca="1">INDEX(tRealMM[Año],RANDBETWEEN(1,ROWS(tRealMM[Apellido2])))</f>
        <v>1976</v>
      </c>
      <c r="D49" s="8" t="str" cm="1">
        <f t="array" aca="1" ref="D49" ca="1">INDEX(tRealMM[clubFórmula],RANDBETWEEN(1,ROWS(tRealMM[Apellido2])))</f>
        <v>C.D.B. Vallecas S.O.S</v>
      </c>
      <c r="E49" s="9">
        <f>tRealMM[[#This Row],[Tiempo1]]</f>
        <v>0.11513888888888889</v>
      </c>
      <c r="F49" s="9" t="str">
        <f>_xlfn.LET(
    _xlpm.k, tRealMM[[#This Row],[Tiempo2]],
    IF(_xlpm.k="", "", _xlpm.k)
  )</f>
        <v/>
      </c>
      <c r="G49" s="10">
        <f>_xlfn.LET(
    _xlpm.k, tRealMM[[#This Row],[Puntos]],
    IF(_xlpm.k="", "", _xlpm.k)
  )</f>
        <v>6</v>
      </c>
      <c r="H4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0" spans="1:8" x14ac:dyDescent="0.2">
      <c r="A50" s="8">
        <v>47</v>
      </c>
      <c r="B50" s="8" t="str" cm="1">
        <f t="array" aca="1" ref="B5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SANCHEZ ABELLA, RUBÉN</v>
      </c>
      <c r="C50" s="8" cm="1">
        <f t="array" aca="1" ref="C50" ca="1">INDEX(tRealMM[Año],RANDBETWEEN(1,ROWS(tRealMM[Apellido2])))</f>
        <v>1995</v>
      </c>
      <c r="D50" s="8" t="str" cm="1">
        <f t="array" aca="1" ref="D50" ca="1">INDEX(tRealMM[clubFórmula],RANDBETWEEN(1,ROWS(tRealMM[Apellido2])))</f>
        <v>Natación RACE</v>
      </c>
      <c r="E50" s="9">
        <f>tRealMM[[#This Row],[Tiempo1]]</f>
        <v>0.11701388888888889</v>
      </c>
      <c r="F50" s="9" t="str">
        <f>_xlfn.LET(
    _xlpm.k, tRealMM[[#This Row],[Tiempo2]],
    IF(_xlpm.k="", "", _xlpm.k)
  )</f>
        <v/>
      </c>
      <c r="G50" s="10">
        <f>_xlfn.LET(
    _xlpm.k, tRealMM[[#This Row],[Puntos]],
    IF(_xlpm.k="", "", _xlpm.k)
  )</f>
        <v>5</v>
      </c>
      <c r="H5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1" spans="1:8" x14ac:dyDescent="0.2">
      <c r="A51" s="8">
        <v>48</v>
      </c>
      <c r="B51" s="8" t="str" cm="1">
        <f t="array" aca="1" ref="B5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FRANCO PÉREZ, FERNANDO</v>
      </c>
      <c r="C51" s="8" cm="1">
        <f t="array" aca="1" ref="C51" ca="1">INDEX(tRealMM[Año],RANDBETWEEN(1,ROWS(tRealMM[Apellido2])))</f>
        <v>1963</v>
      </c>
      <c r="D51" s="8" t="str" cm="1">
        <f t="array" aca="1" ref="D51" ca="1">INDEX(tRealMM[clubFórmula],RANDBETWEEN(1,ROWS(tRealMM[Apellido2])))</f>
        <v>Club Leucante</v>
      </c>
      <c r="E51" s="9">
        <f>tRealMM[[#This Row],[Tiempo1]]</f>
        <v>0.12017361111111111</v>
      </c>
      <c r="F51" s="9" t="str">
        <f>_xlfn.LET(
    _xlpm.k, tRealMM[[#This Row],[Tiempo2]],
    IF(_xlpm.k="", "", _xlpm.k)
  )</f>
        <v/>
      </c>
      <c r="G51" s="10">
        <f>_xlfn.LET(
    _xlpm.k, tRealMM[[#This Row],[Puntos]],
    IF(_xlpm.k="", "", _xlpm.k)
  )</f>
        <v>4</v>
      </c>
      <c r="H5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2" spans="1:8" x14ac:dyDescent="0.2">
      <c r="A52" s="8">
        <v>49</v>
      </c>
      <c r="B52" s="8" t="str" cm="1">
        <f t="array" aca="1" ref="B5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LÁZARO AGUDO, JOSE VICENTE</v>
      </c>
      <c r="C52" s="8" cm="1">
        <f t="array" aca="1" ref="C52" ca="1">INDEX(tRealMM[Año],RANDBETWEEN(1,ROWS(tRealMM[Apellido2])))</f>
        <v>1990</v>
      </c>
      <c r="D52" s="8" t="str" cm="1">
        <f t="array" aca="1" ref="D52" ca="1">INDEX(tRealMM[clubFórmula],RANDBETWEEN(1,ROWS(tRealMM[Apellido2])))</f>
        <v>Club Deportivo Sirenas de Catarroja</v>
      </c>
      <c r="E52" s="9">
        <f>tRealMM[[#This Row],[Tiempo1]]</f>
        <v>0.1257175925925926</v>
      </c>
      <c r="F52" s="9" t="str">
        <f>_xlfn.LET(
    _xlpm.k, tRealMM[[#This Row],[Tiempo2]],
    IF(_xlpm.k="", "", _xlpm.k)
  )</f>
        <v/>
      </c>
      <c r="G52" s="10">
        <f>_xlfn.LET(
    _xlpm.k, tRealMM[[#This Row],[Puntos]],
    IF(_xlpm.k="", "", _xlpm.k)
  )</f>
        <v>3</v>
      </c>
      <c r="H5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3" spans="1:8" x14ac:dyDescent="0.2">
      <c r="A53" s="8">
        <v>50</v>
      </c>
      <c r="B53" s="8" t="str" cm="1">
        <f t="array" aca="1" ref="B5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VELASCO DEL CASTILLO OLIVARES, JONATHAN</v>
      </c>
      <c r="C53" s="8" cm="1">
        <f t="array" aca="1" ref="C53" ca="1">INDEX(tRealMM[Año],RANDBETWEEN(1,ROWS(tRealMM[Apellido2])))</f>
        <v>1983</v>
      </c>
      <c r="D53" s="8" t="str" cm="1">
        <f t="array" aca="1" ref="D53" ca="1">INDEX(tRealMM[clubFórmula],RANDBETWEEN(1,ROWS(tRealMM[Apellido2])))</f>
        <v>Club Natación y Salvamento Albasit</v>
      </c>
      <c r="E53" s="9">
        <f>tRealMM[[#This Row],[Tiempo1]]</f>
        <v>0.1267824074074074</v>
      </c>
      <c r="F53" s="9" t="str">
        <f>_xlfn.LET(
    _xlpm.k, tRealMM[[#This Row],[Tiempo2]],
    IF(_xlpm.k="", "", _xlpm.k)
  )</f>
        <v/>
      </c>
      <c r="G53" s="10">
        <f>_xlfn.LET(
    _xlpm.k, tRealMM[[#This Row],[Puntos]],
    IF(_xlpm.k="", "", _xlpm.k)
  )</f>
        <v>2</v>
      </c>
      <c r="H5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54" spans="1:8" x14ac:dyDescent="0.2">
      <c r="A54" s="8">
        <v>51</v>
      </c>
      <c r="B54" s="8" t="str" cm="1">
        <f t="array" aca="1" ref="B5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 xml:space="preserve">RECUERO JIMÉNEZ, </v>
      </c>
      <c r="C54" s="8" cm="1">
        <f t="array" aca="1" ref="C54" ca="1">INDEX(tRealMM[Año],RANDBETWEEN(1,ROWS(tRealMM[Apellido2])))</f>
        <v>1981</v>
      </c>
      <c r="D54" s="8" t="str" cm="1">
        <f t="array" aca="1" ref="D54" ca="1">INDEX(tRealMM[clubFórmula],RANDBETWEEN(1,ROWS(tRealMM[Apellido2])))</f>
        <v>Club Natación SOS Bétera</v>
      </c>
      <c r="E54" s="9">
        <f>tRealMM[[#This Row],[Tiempo1]]</f>
        <v>0.12679398148148149</v>
      </c>
      <c r="F54" s="9" t="str">
        <f>_xlfn.LET(
    _xlpm.k, tRealMM[[#This Row],[Tiempo2]],
    IF(_xlpm.k="", "", _xlpm.k)
  )</f>
        <v/>
      </c>
      <c r="G54" s="10">
        <f>_xlfn.LET(
    _xlpm.k, tRealMM[[#This Row],[Puntos]],
    IF(_xlpm.k="", "", _xlpm.k)
  )</f>
        <v>1</v>
      </c>
      <c r="H5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5" spans="1:8" x14ac:dyDescent="0.2">
      <c r="A55" s="8">
        <v>52</v>
      </c>
      <c r="B55" s="8" t="str" cm="1">
        <f t="array" aca="1" ref="B5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CUADRADO, JOSE ANTONIO</v>
      </c>
      <c r="C55" s="8" cm="1">
        <f t="array" aca="1" ref="C55" ca="1">INDEX(tRealMM[Año],RANDBETWEEN(1,ROWS(tRealMM[Apellido2])))</f>
        <v>1959</v>
      </c>
      <c r="D55" s="8" t="str" cm="1">
        <f t="array" aca="1" ref="D55" ca="1">INDEX(tRealMM[clubFórmula],RANDBETWEEN(1,ROWS(tRealMM[Apellido2])))</f>
        <v>Natación RACE</v>
      </c>
      <c r="E55" s="9">
        <f>tRealMM[[#This Row],[Tiempo1]]</f>
        <v>0.12815972222222222</v>
      </c>
      <c r="F55" s="9" t="str">
        <f>_xlfn.LET(
    _xlpm.k, tRealMM[[#This Row],[Tiempo2]],
    IF(_xlpm.k="", "", _xlpm.k)
  )</f>
        <v/>
      </c>
      <c r="G55" s="10" t="str">
        <f>_xlfn.LET(
    _xlpm.k, tRealMM[[#This Row],[Puntos]],
    IF(_xlpm.k="", "", _xlpm.k)
  )</f>
        <v/>
      </c>
      <c r="H5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6" spans="1:8" x14ac:dyDescent="0.2">
      <c r="A56" s="8">
        <v>53</v>
      </c>
      <c r="B56" s="8" t="str" cm="1">
        <f t="array" aca="1" ref="B5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BETHENCOURT AGUDO, CESAR</v>
      </c>
      <c r="C56" s="8" cm="1">
        <f t="array" aca="1" ref="C56" ca="1">INDEX(tRealMM[Año],RANDBETWEEN(1,ROWS(tRealMM[Apellido2])))</f>
        <v>1976</v>
      </c>
      <c r="D56" s="8" t="str" cm="1">
        <f t="array" aca="1" ref="D56" ca="1">INDEX(tRealMM[clubFórmula],RANDBETWEEN(1,ROWS(tRealMM[Apellido2])))</f>
        <v>C.D.E Pacífico Salvamento</v>
      </c>
      <c r="E56" s="9">
        <f>tRealMM[[#This Row],[Tiempo1]]</f>
        <v>0.13071759259259258</v>
      </c>
      <c r="F56" s="9" t="str">
        <f>_xlfn.LET(
    _xlpm.k, tRealMM[[#This Row],[Tiempo2]],
    IF(_xlpm.k="", "", _xlpm.k)
  )</f>
        <v/>
      </c>
      <c r="G56" s="10" t="str">
        <f>_xlfn.LET(
    _xlpm.k, tRealMM[[#This Row],[Puntos]],
    IF(_xlpm.k="", "", _xlpm.k)
  )</f>
        <v/>
      </c>
      <c r="H5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7" spans="1:8" x14ac:dyDescent="0.2">
      <c r="A57" s="8">
        <v>54</v>
      </c>
      <c r="B57" s="8" t="str" cm="1">
        <f t="array" aca="1" ref="B5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CULEBRAS SANTOS, MANUEL</v>
      </c>
      <c r="C57" s="8" cm="1">
        <f t="array" aca="1" ref="C57" ca="1">INDEX(tRealMM[Año],RANDBETWEEN(1,ROWS(tRealMM[Apellido2])))</f>
        <v>1961</v>
      </c>
      <c r="D57" s="8" t="str" cm="1">
        <f t="array" aca="1" ref="D57" ca="1">INDEX(tRealMM[clubFórmula],RANDBETWEEN(1,ROWS(tRealMM[Apellido2])))</f>
        <v>Club Natación Martiánez Coral Hotels</v>
      </c>
      <c r="E57" s="9">
        <f>tRealMM[[#This Row],[Tiempo1]]</f>
        <v>0.13157407407407407</v>
      </c>
      <c r="F57" s="9" t="str">
        <f>_xlfn.LET(
    _xlpm.k, tRealMM[[#This Row],[Tiempo2]],
    IF(_xlpm.k="", "", _xlpm.k)
  )</f>
        <v/>
      </c>
      <c r="G57" s="10" t="str">
        <f>_xlfn.LET(
    _xlpm.k, tRealMM[[#This Row],[Puntos]],
    IF(_xlpm.k="", "", _xlpm.k)
  )</f>
        <v/>
      </c>
      <c r="H5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8" spans="1:8" x14ac:dyDescent="0.2">
      <c r="A58" s="8">
        <v>55</v>
      </c>
      <c r="B58" s="8" t="str" cm="1">
        <f t="array" aca="1" ref="B5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DEL BARRIO EGUIA, BERNARDO</v>
      </c>
      <c r="C58" s="8" cm="1">
        <f t="array" aca="1" ref="C58" ca="1">INDEX(tRealMM[Año],RANDBETWEEN(1,ROWS(tRealMM[Apellido2])))</f>
        <v>1976</v>
      </c>
      <c r="D58" s="8" t="str" cm="1">
        <f t="array" aca="1" ref="D58" ca="1">INDEX(tRealMM[clubFórmula],RANDBETWEEN(1,ROWS(tRealMM[Apellido2])))</f>
        <v>Club Natación Martiánez Coral Hotels</v>
      </c>
      <c r="E58" s="9">
        <f>tRealMM[[#This Row],[Tiempo1]]</f>
        <v>0.13300925925925927</v>
      </c>
      <c r="F58" s="9" t="str">
        <f>_xlfn.LET(
    _xlpm.k, tRealMM[[#This Row],[Tiempo2]],
    IF(_xlpm.k="", "", _xlpm.k)
  )</f>
        <v/>
      </c>
      <c r="G58" s="10" t="str">
        <f>_xlfn.LET(
    _xlpm.k, tRealMM[[#This Row],[Puntos]],
    IF(_xlpm.k="", "", _xlpm.k)
  )</f>
        <v/>
      </c>
      <c r="H5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59" spans="1:8" x14ac:dyDescent="0.2">
      <c r="A59" s="8">
        <v>56</v>
      </c>
      <c r="B59" s="8" t="str" cm="1">
        <f t="array" aca="1" ref="B5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MOLLA IGLESIAS, OSCAR</v>
      </c>
      <c r="C59" s="8" cm="1">
        <f t="array" aca="1" ref="C59" ca="1">INDEX(tRealMM[Año],RANDBETWEEN(1,ROWS(tRealMM[Apellido2])))</f>
        <v>1978</v>
      </c>
      <c r="D59" s="8" t="str" cm="1">
        <f t="array" aca="1" ref="D59" ca="1">INDEX(tRealMM[clubFórmula],RANDBETWEEN(1,ROWS(tRealMM[Apellido2])))</f>
        <v>Loredo Surf Life Saving</v>
      </c>
      <c r="E59" s="9">
        <f>tRealMM[[#This Row],[Tiempo1]]</f>
        <v>0.1350462962962963</v>
      </c>
      <c r="F59" s="9" t="str">
        <f>_xlfn.LET(
    _xlpm.k, tRealMM[[#This Row],[Tiempo2]],
    IF(_xlpm.k="", "", _xlpm.k)
  )</f>
        <v/>
      </c>
      <c r="G59" s="10" t="str">
        <f>_xlfn.LET(
    _xlpm.k, tRealMM[[#This Row],[Puntos]],
    IF(_xlpm.k="", "", _xlpm.k)
  )</f>
        <v/>
      </c>
      <c r="H5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0" spans="1:8" x14ac:dyDescent="0.2">
      <c r="A60" s="8">
        <v>57</v>
      </c>
      <c r="B60" s="8" t="str" cm="1">
        <f t="array" aca="1" ref="B6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FERNÁNDEZ IGLESIAS, ALBERTO</v>
      </c>
      <c r="C60" s="8" cm="1">
        <f t="array" aca="1" ref="C60" ca="1">INDEX(tRealMM[Año],RANDBETWEEN(1,ROWS(tRealMM[Apellido2])))</f>
        <v>1994</v>
      </c>
      <c r="D60" s="8" t="str" cm="1">
        <f t="array" aca="1" ref="D60" ca="1">INDEX(tRealMM[clubFórmula],RANDBETWEEN(1,ROWS(tRealMM[Apellido2])))</f>
        <v>Loredo Surf Life Saving</v>
      </c>
      <c r="E60" s="9">
        <f>tRealMM[[#This Row],[Tiempo1]]</f>
        <v>0.13891203703703703</v>
      </c>
      <c r="F60" s="9" t="str">
        <f>_xlfn.LET(
    _xlpm.k, tRealMM[[#This Row],[Tiempo2]],
    IF(_xlpm.k="", "", _xlpm.k)
  )</f>
        <v/>
      </c>
      <c r="G60" s="10" t="str">
        <f>_xlfn.LET(
    _xlpm.k, tRealMM[[#This Row],[Puntos]],
    IF(_xlpm.k="", "", _xlpm.k)
  )</f>
        <v/>
      </c>
      <c r="H6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1" spans="1:8" x14ac:dyDescent="0.2">
      <c r="A61" s="8">
        <v>58</v>
      </c>
      <c r="B61" s="8" t="str" cm="1">
        <f t="array" aca="1" ref="B6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TAMAYO VELEZ, DAVID JUAN</v>
      </c>
      <c r="C61" s="8" cm="1">
        <f t="array" aca="1" ref="C61" ca="1">INDEX(tRealMM[Año],RANDBETWEEN(1,ROWS(tRealMM[Apellido2])))</f>
        <v>1973</v>
      </c>
      <c r="D61" s="8" t="str" cm="1">
        <f t="array" aca="1" ref="D61" ca="1">INDEX(tRealMM[clubFórmula],RANDBETWEEN(1,ROWS(tRealMM[Apellido2])))</f>
        <v>C.D.B. Vallecas S.O.S</v>
      </c>
      <c r="E61" s="9">
        <f>tRealMM[[#This Row],[Tiempo1]]</f>
        <v>0.14018518518518519</v>
      </c>
      <c r="F61" s="9" t="str">
        <f>_xlfn.LET(
    _xlpm.k, tRealMM[[#This Row],[Tiempo2]],
    IF(_xlpm.k="", "", _xlpm.k)
  )</f>
        <v/>
      </c>
      <c r="G61" s="10" t="str">
        <f>_xlfn.LET(
    _xlpm.k, tRealMM[[#This Row],[Puntos]],
    IF(_xlpm.k="", "", _xlpm.k)
  )</f>
        <v/>
      </c>
      <c r="H6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2" spans="1:8" x14ac:dyDescent="0.2">
      <c r="A62" s="8">
        <v>59</v>
      </c>
      <c r="B62" s="8" t="str" cm="1">
        <f t="array" aca="1" ref="B6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MOLINA SANCHEZ, JOSE VICTOR</v>
      </c>
      <c r="C62" s="8" cm="1">
        <f t="array" aca="1" ref="C62" ca="1">INDEX(tRealMM[Año],RANDBETWEEN(1,ROWS(tRealMM[Apellido2])))</f>
        <v>1969</v>
      </c>
      <c r="D62" s="8" t="str" cm="1">
        <f t="array" aca="1" ref="D62" ca="1">INDEX(tRealMM[clubFórmula],RANDBETWEEN(1,ROWS(tRealMM[Apellido2])))</f>
        <v>Club Deportivo Oca S.O.S</v>
      </c>
      <c r="E62" s="9">
        <f>tRealMM[[#This Row],[Tiempo1]]</f>
        <v>0.14280092592592591</v>
      </c>
      <c r="F62" s="9" t="str">
        <f>_xlfn.LET(
    _xlpm.k, tRealMM[[#This Row],[Tiempo2]],
    IF(_xlpm.k="", "", _xlpm.k)
  )</f>
        <v/>
      </c>
      <c r="G62" s="10" t="str">
        <f>_xlfn.LET(
    _xlpm.k, tRealMM[[#This Row],[Puntos]],
    IF(_xlpm.k="", "", _xlpm.k)
  )</f>
        <v/>
      </c>
      <c r="H6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3" spans="1:8" x14ac:dyDescent="0.2">
      <c r="A63" s="8">
        <v>60</v>
      </c>
      <c r="B63" s="8" t="str" cm="1">
        <f t="array" aca="1" ref="B6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CANAL MIÑO, OLIVER</v>
      </c>
      <c r="C63" s="8" cm="1">
        <f t="array" aca="1" ref="C63" ca="1">INDEX(tRealMM[Año],RANDBETWEEN(1,ROWS(tRealMM[Apellido2])))</f>
        <v>1975</v>
      </c>
      <c r="D63" s="8" t="str" cm="1">
        <f t="array" aca="1" ref="D63" ca="1">INDEX(tRealMM[clubFórmula],RANDBETWEEN(1,ROWS(tRealMM[Apellido2])))</f>
        <v>Club Deportivo Oca S.O.S</v>
      </c>
      <c r="E63" s="9">
        <f>tRealMM[[#This Row],[Tiempo1]]</f>
        <v>0.14613425925925927</v>
      </c>
      <c r="F63" s="9" t="str">
        <f>_xlfn.LET(
    _xlpm.k, tRealMM[[#This Row],[Tiempo2]],
    IF(_xlpm.k="", "", _xlpm.k)
  )</f>
        <v/>
      </c>
      <c r="G63" s="10" t="str">
        <f>_xlfn.LET(
    _xlpm.k, tRealMM[[#This Row],[Puntos]],
    IF(_xlpm.k="", "", _xlpm.k)
  )</f>
        <v/>
      </c>
      <c r="H6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4" spans="1:8" x14ac:dyDescent="0.2">
      <c r="A64" s="8">
        <v>61</v>
      </c>
      <c r="B64" s="8" t="str" cm="1">
        <f t="array" aca="1" ref="B6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TENORIO BOLADO, DANIEL</v>
      </c>
      <c r="C64" s="8" cm="1">
        <f t="array" aca="1" ref="C64" ca="1">INDEX(tRealMM[Año],RANDBETWEEN(1,ROWS(tRealMM[Apellido2])))</f>
        <v>1975</v>
      </c>
      <c r="D64" s="8" t="str" cm="1">
        <f t="array" aca="1" ref="D64" ca="1">INDEX(tRealMM[clubFórmula],RANDBETWEEN(1,ROWS(tRealMM[Apellido2])))</f>
        <v>Club Natación y Salvamento Albasit</v>
      </c>
      <c r="E64" s="9">
        <f>tRealMM[[#This Row],[Tiempo1]]</f>
        <v>0.14877314814814815</v>
      </c>
      <c r="F64" s="9" t="str">
        <f>_xlfn.LET(
    _xlpm.k, tRealMM[[#This Row],[Tiempo2]],
    IF(_xlpm.k="", "", _xlpm.k)
  )</f>
        <v/>
      </c>
      <c r="G64" s="10" t="str">
        <f>_xlfn.LET(
    _xlpm.k, tRealMM[[#This Row],[Puntos]],
    IF(_xlpm.k="", "", _xlpm.k)
  )</f>
        <v/>
      </c>
      <c r="H6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5" spans="1:8" x14ac:dyDescent="0.2">
      <c r="A65" s="8">
        <v>62</v>
      </c>
      <c r="B65" s="8" t="str" cm="1">
        <f t="array" aca="1" ref="B6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LAMA ANDREU, JOSE LUIS</v>
      </c>
      <c r="C65" s="8" cm="1">
        <f t="array" aca="1" ref="C65" ca="1">INDEX(tRealMM[Año],RANDBETWEEN(1,ROWS(tRealMM[Apellido2])))</f>
        <v>1968</v>
      </c>
      <c r="D65" s="8" t="str" cm="1">
        <f t="array" aca="1" ref="D65" ca="1">INDEX(tRealMM[clubFórmula],RANDBETWEEN(1,ROWS(tRealMM[Apellido2])))</f>
        <v>Club Natación y Salvamento Albasit</v>
      </c>
      <c r="E65" s="9">
        <f>tRealMM[[#This Row],[Tiempo1]]</f>
        <v>0.15406249999999999</v>
      </c>
      <c r="F65" s="9" t="str">
        <f>_xlfn.LET(
    _xlpm.k, tRealMM[[#This Row],[Tiempo2]],
    IF(_xlpm.k="", "", _xlpm.k)
  )</f>
        <v/>
      </c>
      <c r="G65" s="10" t="str">
        <f>_xlfn.LET(
    _xlpm.k, tRealMM[[#This Row],[Puntos]],
    IF(_xlpm.k="", "", _xlpm.k)
  )</f>
        <v/>
      </c>
      <c r="H6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6" spans="1:8" x14ac:dyDescent="0.2">
      <c r="A66" s="8">
        <v>63</v>
      </c>
      <c r="B66" s="8" t="str" cm="1">
        <f t="array" aca="1" ref="B6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MARÍA-TOMÉ SAIZ, SERGIO</v>
      </c>
      <c r="C66" s="8" cm="1">
        <f t="array" aca="1" ref="C66" ca="1">INDEX(tRealMM[Año],RANDBETWEEN(1,ROWS(tRealMM[Apellido2])))</f>
        <v>1963</v>
      </c>
      <c r="D66" s="8" t="str" cm="1">
        <f t="array" aca="1" ref="D66" ca="1">INDEX(tRealMM[clubFórmula],RANDBETWEEN(1,ROWS(tRealMM[Apellido2])))</f>
        <v>Loredo Surf Life Saving</v>
      </c>
      <c r="E66" s="9">
        <f>tRealMM[[#This Row],[Tiempo1]]</f>
        <v>0.17878472222222222</v>
      </c>
      <c r="F66" s="9" t="str">
        <f>_xlfn.LET(
    _xlpm.k, tRealMM[[#This Row],[Tiempo2]],
    IF(_xlpm.k="", "", _xlpm.k)
  )</f>
        <v/>
      </c>
      <c r="G66" s="10" t="str">
        <f>_xlfn.LET(
    _xlpm.k, tRealMM[[#This Row],[Puntos]],
    IF(_xlpm.k="", "", _xlpm.k)
  )</f>
        <v/>
      </c>
      <c r="H6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67" spans="1:8" x14ac:dyDescent="0.2">
      <c r="A67" s="8">
        <v>64</v>
      </c>
      <c r="B67" s="8" t="str" cm="1">
        <f t="array" aca="1" ref="B6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CEBRIAN ATTILA, SERGIO</v>
      </c>
      <c r="C67" s="8" cm="1">
        <f t="array" aca="1" ref="C67" ca="1">INDEX(tRealMM[Año],RANDBETWEEN(1,ROWS(tRealMM[Apellido2])))</f>
        <v>1965</v>
      </c>
      <c r="D67" s="8" t="str" cm="1">
        <f t="array" aca="1" ref="D67" ca="1">INDEX(tRealMM[clubFórmula],RANDBETWEEN(1,ROWS(tRealMM[Apellido2])))</f>
        <v>Club Deportivo Sirenas de Catarroja</v>
      </c>
      <c r="E67" s="9" t="str">
        <f>tRealMM[[#This Row],[Tiempo1]]</f>
        <v>Baja</v>
      </c>
      <c r="F67" s="9" t="str">
        <f>_xlfn.LET(
    _xlpm.k, tRealMM[[#This Row],[Tiempo2]],
    IF(_xlpm.k="", "", _xlpm.k)
  )</f>
        <v/>
      </c>
      <c r="G67" s="10" t="str">
        <f>_xlfn.LET(
    _xlpm.k, tRealMM[[#This Row],[Puntos]],
    IF(_xlpm.k="", "", _xlpm.k)
  )</f>
        <v/>
      </c>
      <c r="H6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8" spans="1:8" x14ac:dyDescent="0.2">
      <c r="A68" s="8">
        <v>65</v>
      </c>
      <c r="B68" s="8" t="str" cm="1">
        <f t="array" aca="1" ref="B6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VAZQUEZ LUIJTEN, LUIS IGNACIO</v>
      </c>
      <c r="C68" s="8" cm="1">
        <f t="array" aca="1" ref="C68" ca="1">INDEX(tRealMM[Año],RANDBETWEEN(1,ROWS(tRealMM[Apellido2])))</f>
        <v>1981</v>
      </c>
      <c r="D68" s="8" t="str" cm="1">
        <f t="array" aca="1" ref="D68" ca="1">INDEX(tRealMM[clubFórmula],RANDBETWEEN(1,ROWS(tRealMM[Apellido2])))</f>
        <v>Club Deportivo Oca S.O.S</v>
      </c>
      <c r="E68" s="9" t="str">
        <f>tRealMM[[#This Row],[Tiempo1]]</f>
        <v>Baja</v>
      </c>
      <c r="F68" s="9" t="str">
        <f>_xlfn.LET(
    _xlpm.k, tRealMM[[#This Row],[Tiempo2]],
    IF(_xlpm.k="", "", _xlpm.k)
  )</f>
        <v/>
      </c>
      <c r="G68" s="10" t="str">
        <f>_xlfn.LET(
    _xlpm.k, tRealMM[[#This Row],[Puntos]],
    IF(_xlpm.k="", "", _xlpm.k)
  )</f>
        <v/>
      </c>
      <c r="H6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69" spans="1:8" x14ac:dyDescent="0.2">
      <c r="A69" s="8">
        <v>66</v>
      </c>
      <c r="B69" s="8" t="str" cm="1">
        <f t="array" aca="1" ref="B6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FERNANDEZ PLANELLS, HECTOR</v>
      </c>
      <c r="C69" s="8" cm="1">
        <f t="array" aca="1" ref="C69" ca="1">INDEX(tRealMM[Año],RANDBETWEEN(1,ROWS(tRealMM[Apellido2])))</f>
        <v>1969</v>
      </c>
      <c r="D69" s="8" t="str" cm="1">
        <f t="array" aca="1" ref="D69" ca="1">INDEX(tRealMM[clubFórmula],RANDBETWEEN(1,ROWS(tRealMM[Apellido2])))</f>
        <v>C.D.B. Vallecas S.O.S</v>
      </c>
      <c r="E69" s="9" t="str">
        <f>tRealMM[[#This Row],[Tiempo1]]</f>
        <v>Baja</v>
      </c>
      <c r="F69" s="9" t="str">
        <f>_xlfn.LET(
    _xlpm.k, tRealMM[[#This Row],[Tiempo2]],
    IF(_xlpm.k="", "", _xlpm.k)
  )</f>
        <v/>
      </c>
      <c r="G69" s="10" t="str">
        <f>_xlfn.LET(
    _xlpm.k, tRealMM[[#This Row],[Puntos]],
    IF(_xlpm.k="", "", _xlpm.k)
  )</f>
        <v/>
      </c>
      <c r="H6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70" spans="1:8" x14ac:dyDescent="0.2">
      <c r="A70" s="8">
        <v>67</v>
      </c>
      <c r="B70" s="8" t="str" cm="1">
        <f t="array" aca="1" ref="B7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MENCHEN SANCHEZ, JONATHAN</v>
      </c>
      <c r="C70" s="8" cm="1">
        <f t="array" aca="1" ref="C70" ca="1">INDEX(tRealMM[Año],RANDBETWEEN(1,ROWS(tRealMM[Apellido2])))</f>
        <v>1983</v>
      </c>
      <c r="D70" s="8" t="str" cm="1">
        <f t="array" aca="1" ref="D70" ca="1">INDEX(tRealMM[clubFórmula],RANDBETWEEN(1,ROWS(tRealMM[Apellido2])))</f>
        <v>Club Deportivo Oca S.O.S</v>
      </c>
      <c r="E70" s="9" t="str">
        <f>tRealMM[[#This Row],[Tiempo1]]</f>
        <v>Baja</v>
      </c>
      <c r="F70" s="9" t="str">
        <f>_xlfn.LET(
    _xlpm.k, tRealMM[[#This Row],[Tiempo2]],
    IF(_xlpm.k="", "", _xlpm.k)
  )</f>
        <v/>
      </c>
      <c r="G70" s="10" t="str">
        <f>_xlfn.LET(
    _xlpm.k, tRealMM[[#This Row],[Puntos]],
    IF(_xlpm.k="", "", _xlpm.k)
  )</f>
        <v/>
      </c>
      <c r="H7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71" spans="1:8" x14ac:dyDescent="0.2">
      <c r="A71" s="8">
        <v>68</v>
      </c>
      <c r="B71" s="8" t="str" cm="1">
        <f t="array" aca="1" ref="B7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RECUERO AGUDO, ADRIANO</v>
      </c>
      <c r="C71" s="8" cm="1">
        <f t="array" aca="1" ref="C71" ca="1">INDEX(tRealMM[Año],RANDBETWEEN(1,ROWS(tRealMM[Apellido2])))</f>
        <v>1978</v>
      </c>
      <c r="D71" s="8" t="str" cm="1">
        <f t="array" aca="1" ref="D71" ca="1">INDEX(tRealMM[clubFórmula],RANDBETWEEN(1,ROWS(tRealMM[Apellido2])))</f>
        <v>Club A.C.N. Marisma</v>
      </c>
      <c r="E71" s="9" t="str">
        <f>tRealMM[[#This Row],[Tiempo1]]</f>
        <v>Descalificado</v>
      </c>
      <c r="F71" s="9" t="str">
        <f>_xlfn.LET(
    _xlpm.k, tRealMM[[#This Row],[Tiempo2]],
    IF(_xlpm.k="", "", _xlpm.k)
  )</f>
        <v/>
      </c>
      <c r="G71" s="10">
        <f>_xlfn.LET(
    _xlpm.k, tRealMM[[#This Row],[Puntos]],
    IF(_xlpm.k="", "", _xlpm.k)
  )</f>
        <v>1</v>
      </c>
      <c r="H7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72" spans="1:8" x14ac:dyDescent="0.2">
      <c r="A72" s="8">
        <v>69</v>
      </c>
      <c r="B72" s="8" t="str" cm="1">
        <f t="array" aca="1" ref="B7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VAQUERO ARRANZ, OLIVER</v>
      </c>
      <c r="C72" s="8" cm="1">
        <f t="array" aca="1" ref="C72" ca="1">INDEX(tRealMM[Año],RANDBETWEEN(1,ROWS(tRealMM[Apellido2])))</f>
        <v>1977</v>
      </c>
      <c r="D72" s="8" t="str" cm="1">
        <f t="array" aca="1" ref="D72" ca="1">INDEX(tRealMM[clubFórmula],RANDBETWEEN(1,ROWS(tRealMM[Apellido2])))</f>
        <v>Club Deportivo Oca S.O.S</v>
      </c>
      <c r="E72" s="9" t="str">
        <f>tRealMM[[#This Row],[Tiempo1]]</f>
        <v>Descalificado</v>
      </c>
      <c r="F72" s="9" t="str">
        <f>_xlfn.LET(
    _xlpm.k, tRealMM[[#This Row],[Tiempo2]],
    IF(_xlpm.k="", "", _xlpm.k)
  )</f>
        <v/>
      </c>
      <c r="G72" s="10">
        <f>_xlfn.LET(
    _xlpm.k, tRealMM[[#This Row],[Puntos]],
    IF(_xlpm.k="", "", _xlpm.k)
  )</f>
        <v>1</v>
      </c>
      <c r="H7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45-49</v>
      </c>
    </row>
    <row r="73" spans="1:8" x14ac:dyDescent="0.2">
      <c r="A73" s="8">
        <v>70</v>
      </c>
      <c r="B73" s="8" t="str" cm="1">
        <f t="array" aca="1" ref="B7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MORA PASCUAL, CASPAR</v>
      </c>
      <c r="C73" s="8" cm="1">
        <f t="array" aca="1" ref="C73" ca="1">INDEX(tRealMM[Año],RANDBETWEEN(1,ROWS(tRealMM[Apellido2])))</f>
        <v>1963</v>
      </c>
      <c r="D73" s="8" t="str" cm="1">
        <f t="array" aca="1" ref="D73" ca="1">INDEX(tRealMM[clubFórmula],RANDBETWEEN(1,ROWS(tRealMM[Apellido2])))</f>
        <v>C.D.E Pacífico Salvamento</v>
      </c>
      <c r="E73" s="9">
        <f>tRealMM[[#This Row],[Tiempo1]]</f>
        <v>9.6331018518518524E-2</v>
      </c>
      <c r="F73" s="9" t="str">
        <f>_xlfn.LET(
    _xlpm.k, tRealMM[[#This Row],[Tiempo2]],
    IF(_xlpm.k="", "", _xlpm.k)
  )</f>
        <v/>
      </c>
      <c r="G73" s="10">
        <f>_xlfn.LET(
    _xlpm.k, tRealMM[[#This Row],[Puntos]],
    IF(_xlpm.k="", "", _xlpm.k)
  )</f>
        <v>20</v>
      </c>
      <c r="H7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74" spans="1:8" x14ac:dyDescent="0.2">
      <c r="A74" s="8">
        <v>71</v>
      </c>
      <c r="B74" s="8" t="str" cm="1">
        <f t="array" aca="1" ref="B7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HERRERIA MARTÍNEZ, LUIS</v>
      </c>
      <c r="C74" s="8" cm="1">
        <f t="array" aca="1" ref="C74" ca="1">INDEX(tRealMM[Año],RANDBETWEEN(1,ROWS(tRealMM[Apellido2])))</f>
        <v>1993</v>
      </c>
      <c r="D74" s="8" t="str" cm="1">
        <f t="array" aca="1" ref="D74" ca="1">INDEX(tRealMM[clubFórmula],RANDBETWEEN(1,ROWS(tRealMM[Apellido2])))</f>
        <v>C.D.B. Vallecas S.O.S</v>
      </c>
      <c r="E74" s="9">
        <f>tRealMM[[#This Row],[Tiempo1]]</f>
        <v>0.10216435185185185</v>
      </c>
      <c r="F74" s="9" t="str">
        <f>_xlfn.LET(
    _xlpm.k, tRealMM[[#This Row],[Tiempo2]],
    IF(_xlpm.k="", "", _xlpm.k)
  )</f>
        <v/>
      </c>
      <c r="G74" s="10">
        <f>_xlfn.LET(
    _xlpm.k, tRealMM[[#This Row],[Puntos]],
    IF(_xlpm.k="", "", _xlpm.k)
  )</f>
        <v>18</v>
      </c>
      <c r="H7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5" spans="1:8" x14ac:dyDescent="0.2">
      <c r="A75" s="8">
        <v>72</v>
      </c>
      <c r="B75" s="8" t="str" cm="1">
        <f t="array" aca="1" ref="B7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DIAZ GOSALBEZ, DANIEL</v>
      </c>
      <c r="C75" s="8" cm="1">
        <f t="array" aca="1" ref="C75" ca="1">INDEX(tRealMM[Año],RANDBETWEEN(1,ROWS(tRealMM[Apellido2])))</f>
        <v>1976</v>
      </c>
      <c r="D75" s="8" t="str" cm="1">
        <f t="array" aca="1" ref="D75" ca="1">INDEX(tRealMM[clubFórmula],RANDBETWEEN(1,ROWS(tRealMM[Apellido2])))</f>
        <v>Club Deportivo Natación Aldaia</v>
      </c>
      <c r="E75" s="9">
        <f>tRealMM[[#This Row],[Tiempo1]]</f>
        <v>0.1064699074074074</v>
      </c>
      <c r="F75" s="9" t="str">
        <f>_xlfn.LET(
    _xlpm.k, tRealMM[[#This Row],[Tiempo2]],
    IF(_xlpm.k="", "", _xlpm.k)
  )</f>
        <v/>
      </c>
      <c r="G75" s="10">
        <f>_xlfn.LET(
    _xlpm.k, tRealMM[[#This Row],[Puntos]],
    IF(_xlpm.k="", "", _xlpm.k)
  )</f>
        <v>16</v>
      </c>
      <c r="H7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6" spans="1:8" x14ac:dyDescent="0.2">
      <c r="A76" s="8">
        <v>73</v>
      </c>
      <c r="B76" s="8" t="str" cm="1">
        <f t="array" aca="1" ref="B7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CHICHARRO CALZADA, LUIS</v>
      </c>
      <c r="C76" s="8" cm="1">
        <f t="array" aca="1" ref="C76" ca="1">INDEX(tRealMM[Año],RANDBETWEEN(1,ROWS(tRealMM[Apellido2])))</f>
        <v>1971</v>
      </c>
      <c r="D76" s="8" t="str" cm="1">
        <f t="array" aca="1" ref="D76" ca="1">INDEX(tRealMM[clubFórmula],RANDBETWEEN(1,ROWS(tRealMM[Apellido2])))</f>
        <v>Loredo Surf Life Saving</v>
      </c>
      <c r="E76" s="9">
        <f>tRealMM[[#This Row],[Tiempo1]]</f>
        <v>0.10931712962962963</v>
      </c>
      <c r="F76" s="9" t="str">
        <f>_xlfn.LET(
    _xlpm.k, tRealMM[[#This Row],[Tiempo2]],
    IF(_xlpm.k="", "", _xlpm.k)
  )</f>
        <v/>
      </c>
      <c r="G76" s="10">
        <f>_xlfn.LET(
    _xlpm.k, tRealMM[[#This Row],[Puntos]],
    IF(_xlpm.k="", "", _xlpm.k)
  )</f>
        <v>14</v>
      </c>
      <c r="H7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7" spans="1:8" x14ac:dyDescent="0.2">
      <c r="A77" s="8">
        <v>74</v>
      </c>
      <c r="B77" s="8" t="str" cm="1">
        <f t="array" aca="1" ref="B7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 xml:space="preserve">ROJANO PORTILLA, </v>
      </c>
      <c r="C77" s="8" cm="1">
        <f t="array" aca="1" ref="C77" ca="1">INDEX(tRealMM[Año],RANDBETWEEN(1,ROWS(tRealMM[Apellido2])))</f>
        <v>1978</v>
      </c>
      <c r="D77" s="8" t="str" cm="1">
        <f t="array" aca="1" ref="D77" ca="1">INDEX(tRealMM[clubFórmula],RANDBETWEEN(1,ROWS(tRealMM[Apellido2])))</f>
        <v>C.D.B. Vallecas S.O.S</v>
      </c>
      <c r="E77" s="9">
        <f>tRealMM[[#This Row],[Tiempo1]]</f>
        <v>0.11125</v>
      </c>
      <c r="F77" s="9" t="str">
        <f>_xlfn.LET(
    _xlpm.k, tRealMM[[#This Row],[Tiempo2]],
    IF(_xlpm.k="", "", _xlpm.k)
  )</f>
        <v/>
      </c>
      <c r="G77" s="10">
        <f>_xlfn.LET(
    _xlpm.k, tRealMM[[#This Row],[Puntos]],
    IF(_xlpm.k="", "", _xlpm.k)
  )</f>
        <v>13</v>
      </c>
      <c r="H7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8" spans="1:8" x14ac:dyDescent="0.2">
      <c r="A78" s="8">
        <v>75</v>
      </c>
      <c r="B78" s="8" t="str" cm="1">
        <f t="array" aca="1" ref="B7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VARGA LOPEZ, ELISEO</v>
      </c>
      <c r="C78" s="8" cm="1">
        <f t="array" aca="1" ref="C78" ca="1">INDEX(tRealMM[Año],RANDBETWEEN(1,ROWS(tRealMM[Apellido2])))</f>
        <v>1970</v>
      </c>
      <c r="D78" s="8" t="str" cm="1">
        <f t="array" aca="1" ref="D78" ca="1">INDEX(tRealMM[clubFórmula],RANDBETWEEN(1,ROWS(tRealMM[Apellido2])))</f>
        <v>Natación RACE</v>
      </c>
      <c r="E78" s="9">
        <f>tRealMM[[#This Row],[Tiempo1]]</f>
        <v>0.11194444444444444</v>
      </c>
      <c r="F78" s="9" t="str">
        <f>_xlfn.LET(
    _xlpm.k, tRealMM[[#This Row],[Tiempo2]],
    IF(_xlpm.k="", "", _xlpm.k)
  )</f>
        <v/>
      </c>
      <c r="G78" s="10">
        <f>_xlfn.LET(
    _xlpm.k, tRealMM[[#This Row],[Puntos]],
    IF(_xlpm.k="", "", _xlpm.k)
  )</f>
        <v>12</v>
      </c>
      <c r="H7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79" spans="1:8" x14ac:dyDescent="0.2">
      <c r="A79" s="8">
        <v>76</v>
      </c>
      <c r="B79" s="8" t="str" cm="1">
        <f t="array" aca="1" ref="B7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CLIMENT CARMONA, CESAR</v>
      </c>
      <c r="C79" s="8" cm="1">
        <f t="array" aca="1" ref="C79" ca="1">INDEX(tRealMM[Año],RANDBETWEEN(1,ROWS(tRealMM[Apellido2])))</f>
        <v>1978</v>
      </c>
      <c r="D79" s="8" t="str" cm="1">
        <f t="array" aca="1" ref="D79" ca="1">INDEX(tRealMM[clubFórmula],RANDBETWEEN(1,ROWS(tRealMM[Apellido2])))</f>
        <v>Club Natación y Salvamento Albasit</v>
      </c>
      <c r="E79" s="9">
        <f>tRealMM[[#This Row],[Tiempo1]]</f>
        <v>0.1144212962962963</v>
      </c>
      <c r="F79" s="9" t="str">
        <f>_xlfn.LET(
    _xlpm.k, tRealMM[[#This Row],[Tiempo2]],
    IF(_xlpm.k="", "", _xlpm.k)
  )</f>
        <v/>
      </c>
      <c r="G79" s="10">
        <f>_xlfn.LET(
    _xlpm.k, tRealMM[[#This Row],[Puntos]],
    IF(_xlpm.k="", "", _xlpm.k)
  )</f>
        <v>11</v>
      </c>
      <c r="H7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0" spans="1:8" x14ac:dyDescent="0.2">
      <c r="A80" s="8">
        <v>77</v>
      </c>
      <c r="B80" s="8" t="str" cm="1">
        <f t="array" aca="1" ref="B8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DE FRUTOS BOLADO, JOSE VICTOR</v>
      </c>
      <c r="C80" s="8" cm="1">
        <f t="array" aca="1" ref="C80" ca="1">INDEX(tRealMM[Año],RANDBETWEEN(1,ROWS(tRealMM[Apellido2])))</f>
        <v>1967</v>
      </c>
      <c r="D80" s="8" t="str" cm="1">
        <f t="array" aca="1" ref="D80" ca="1">INDEX(tRealMM[clubFórmula],RANDBETWEEN(1,ROWS(tRealMM[Apellido2])))</f>
        <v>Loredo Surf Life Saving</v>
      </c>
      <c r="E80" s="9">
        <f>tRealMM[[#This Row],[Tiempo1]]</f>
        <v>0.1149537037037037</v>
      </c>
      <c r="F80" s="9" t="str">
        <f>_xlfn.LET(
    _xlpm.k, tRealMM[[#This Row],[Tiempo2]],
    IF(_xlpm.k="", "", _xlpm.k)
  )</f>
        <v/>
      </c>
      <c r="G80" s="10">
        <f>_xlfn.LET(
    _xlpm.k, tRealMM[[#This Row],[Puntos]],
    IF(_xlpm.k="", "", _xlpm.k)
  )</f>
        <v>10</v>
      </c>
      <c r="H8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1" spans="1:8" x14ac:dyDescent="0.2">
      <c r="A81" s="8">
        <v>78</v>
      </c>
      <c r="B81" s="8" t="str" cm="1">
        <f t="array" aca="1" ref="B8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TENORIO VALLEJO, JUAN JOSE</v>
      </c>
      <c r="C81" s="8" cm="1">
        <f t="array" aca="1" ref="C81" ca="1">INDEX(tRealMM[Año],RANDBETWEEN(1,ROWS(tRealMM[Apellido2])))</f>
        <v>1967</v>
      </c>
      <c r="D81" s="8" t="str" cm="1">
        <f t="array" aca="1" ref="D81" ca="1">INDEX(tRealMM[clubFórmula],RANDBETWEEN(1,ROWS(tRealMM[Apellido2])))</f>
        <v>C.D.B. Vallecas S.O.S</v>
      </c>
      <c r="E81" s="9">
        <f>tRealMM[[#This Row],[Tiempo1]]</f>
        <v>0.11725694444444444</v>
      </c>
      <c r="F81" s="9" t="str">
        <f>_xlfn.LET(
    _xlpm.k, tRealMM[[#This Row],[Tiempo2]],
    IF(_xlpm.k="", "", _xlpm.k)
  )</f>
        <v/>
      </c>
      <c r="G81" s="10">
        <f>_xlfn.LET(
    _xlpm.k, tRealMM[[#This Row],[Puntos]],
    IF(_xlpm.k="", "", _xlpm.k)
  )</f>
        <v>8</v>
      </c>
      <c r="H8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2" spans="1:8" x14ac:dyDescent="0.2">
      <c r="A82" s="8">
        <v>79</v>
      </c>
      <c r="B82" s="8" t="str" cm="1">
        <f t="array" aca="1" ref="B8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CARPINTERO SANCHEZ, MARCIAL</v>
      </c>
      <c r="C82" s="8" cm="1">
        <f t="array" aca="1" ref="C82" ca="1">INDEX(tRealMM[Año],RANDBETWEEN(1,ROWS(tRealMM[Apellido2])))</f>
        <v>1976</v>
      </c>
      <c r="D82" s="8" t="str" cm="1">
        <f t="array" aca="1" ref="D82" ca="1">INDEX(tRealMM[clubFórmula],RANDBETWEEN(1,ROWS(tRealMM[Apellido2])))</f>
        <v>Club Deportivo Oca S.O.S</v>
      </c>
      <c r="E82" s="9">
        <f>tRealMM[[#This Row],[Tiempo1]]</f>
        <v>0.12195601851851852</v>
      </c>
      <c r="F82" s="9" t="str">
        <f>_xlfn.LET(
    _xlpm.k, tRealMM[[#This Row],[Tiempo2]],
    IF(_xlpm.k="", "", _xlpm.k)
  )</f>
        <v/>
      </c>
      <c r="G82" s="10">
        <f>_xlfn.LET(
    _xlpm.k, tRealMM[[#This Row],[Puntos]],
    IF(_xlpm.k="", "", _xlpm.k)
  )</f>
        <v>7</v>
      </c>
      <c r="H8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83" spans="1:8" x14ac:dyDescent="0.2">
      <c r="A83" s="8">
        <v>80</v>
      </c>
      <c r="B83" s="8" t="str" cm="1">
        <f t="array" aca="1" ref="B8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BARBERO VALLEJO, ALBERTO</v>
      </c>
      <c r="C83" s="8" cm="1">
        <f t="array" aca="1" ref="C83" ca="1">INDEX(tRealMM[Año],RANDBETWEEN(1,ROWS(tRealMM[Apellido2])))</f>
        <v>1984</v>
      </c>
      <c r="D83" s="8" t="str" cm="1">
        <f t="array" aca="1" ref="D83" ca="1">INDEX(tRealMM[clubFórmula],RANDBETWEEN(1,ROWS(tRealMM[Apellido2])))</f>
        <v>Real Club Náutico de Tenerife</v>
      </c>
      <c r="E83" s="9">
        <f>tRealMM[[#This Row],[Tiempo1]]</f>
        <v>0.13067129629629629</v>
      </c>
      <c r="F83" s="9" t="str">
        <f>_xlfn.LET(
    _xlpm.k, tRealMM[[#This Row],[Tiempo2]],
    IF(_xlpm.k="", "", _xlpm.k)
  )</f>
        <v/>
      </c>
      <c r="G83" s="10">
        <f>_xlfn.LET(
    _xlpm.k, tRealMM[[#This Row],[Puntos]],
    IF(_xlpm.k="", "", _xlpm.k)
  )</f>
        <v>6</v>
      </c>
      <c r="H8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4" spans="1:8" x14ac:dyDescent="0.2">
      <c r="A84" s="8">
        <v>81</v>
      </c>
      <c r="B84" s="8" t="str" cm="1">
        <f t="array" aca="1" ref="B8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MONTERO PÉREZ, JOSE MANUEL</v>
      </c>
      <c r="C84" s="8" cm="1">
        <f t="array" aca="1" ref="C84" ca="1">INDEX(tRealMM[Año],RANDBETWEEN(1,ROWS(tRealMM[Apellido2])))</f>
        <v>1954</v>
      </c>
      <c r="D84" s="8" t="str" cm="1">
        <f t="array" aca="1" ref="D84" ca="1">INDEX(tRealMM[clubFórmula],RANDBETWEEN(1,ROWS(tRealMM[Apellido2])))</f>
        <v>Club Deportivo Oca S.O.S</v>
      </c>
      <c r="E84" s="9">
        <f>tRealMM[[#This Row],[Tiempo1]]</f>
        <v>0.13282407407407407</v>
      </c>
      <c r="F84" s="9" t="str">
        <f>_xlfn.LET(
    _xlpm.k, tRealMM[[#This Row],[Tiempo2]],
    IF(_xlpm.k="", "", _xlpm.k)
  )</f>
        <v/>
      </c>
      <c r="G84" s="10">
        <f>_xlfn.LET(
    _xlpm.k, tRealMM[[#This Row],[Puntos]],
    IF(_xlpm.k="", "", _xlpm.k)
  )</f>
        <v>5</v>
      </c>
      <c r="H8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5" spans="1:8" x14ac:dyDescent="0.2">
      <c r="A85" s="8">
        <v>82</v>
      </c>
      <c r="B85" s="8" t="str" cm="1">
        <f t="array" aca="1" ref="B8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MONTERO JORDAN, EDUARDO</v>
      </c>
      <c r="C85" s="8" cm="1">
        <f t="array" aca="1" ref="C85" ca="1">INDEX(tRealMM[Año],RANDBETWEEN(1,ROWS(tRealMM[Apellido2])))</f>
        <v>1966</v>
      </c>
      <c r="D85" s="8" t="str" cm="1">
        <f t="array" aca="1" ref="D85" ca="1">INDEX(tRealMM[clubFórmula],RANDBETWEEN(1,ROWS(tRealMM[Apellido2])))</f>
        <v>Club Natación San Vicente</v>
      </c>
      <c r="E85" s="9">
        <f>tRealMM[[#This Row],[Tiempo1]]</f>
        <v>0.1350925925925926</v>
      </c>
      <c r="F85" s="9" t="str">
        <f>_xlfn.LET(
    _xlpm.k, tRealMM[[#This Row],[Tiempo2]],
    IF(_xlpm.k="", "", _xlpm.k)
  )</f>
        <v/>
      </c>
      <c r="G85" s="10">
        <f>_xlfn.LET(
    _xlpm.k, tRealMM[[#This Row],[Puntos]],
    IF(_xlpm.k="", "", _xlpm.k)
  )</f>
        <v>4</v>
      </c>
      <c r="H8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6" spans="1:8" x14ac:dyDescent="0.2">
      <c r="A86" s="8">
        <v>83</v>
      </c>
      <c r="B86" s="8" t="str" cm="1">
        <f t="array" aca="1" ref="B8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GRANÉ MARTINEZ, SERGIO</v>
      </c>
      <c r="C86" s="8" cm="1">
        <f t="array" aca="1" ref="C86" ca="1">INDEX(tRealMM[Año],RANDBETWEEN(1,ROWS(tRealMM[Apellido2])))</f>
        <v>1978</v>
      </c>
      <c r="D86" s="8" t="str" cm="1">
        <f t="array" aca="1" ref="D86" ca="1">INDEX(tRealMM[clubFórmula],RANDBETWEEN(1,ROWS(tRealMM[Apellido2])))</f>
        <v>C.D.E Pacífico Salvamento</v>
      </c>
      <c r="E86" s="9">
        <f>tRealMM[[#This Row],[Tiempo1]]</f>
        <v>0.13841435185185186</v>
      </c>
      <c r="F86" s="9" t="str">
        <f>_xlfn.LET(
    _xlpm.k, tRealMM[[#This Row],[Tiempo2]],
    IF(_xlpm.k="", "", _xlpm.k)
  )</f>
        <v/>
      </c>
      <c r="G86" s="10">
        <f>_xlfn.LET(
    _xlpm.k, tRealMM[[#This Row],[Puntos]],
    IF(_xlpm.k="", "", _xlpm.k)
  )</f>
        <v>3</v>
      </c>
      <c r="H8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7" spans="1:8" x14ac:dyDescent="0.2">
      <c r="A87" s="8">
        <v>84</v>
      </c>
      <c r="B87" s="8" t="str" cm="1">
        <f t="array" aca="1" ref="B8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MORENO CRUZ, ALVARO</v>
      </c>
      <c r="C87" s="8" cm="1">
        <f t="array" aca="1" ref="C87" ca="1">INDEX(tRealMM[Año],RANDBETWEEN(1,ROWS(tRealMM[Apellido2])))</f>
        <v>1995</v>
      </c>
      <c r="D87" s="8" t="str" cm="1">
        <f t="array" aca="1" ref="D87" ca="1">INDEX(tRealMM[clubFórmula],RANDBETWEEN(1,ROWS(tRealMM[Apellido2])))</f>
        <v>C.D.E Pacífico Salvamento</v>
      </c>
      <c r="E87" s="9">
        <f>tRealMM[[#This Row],[Tiempo1]]</f>
        <v>0.15456018518518519</v>
      </c>
      <c r="F87" s="9" t="str">
        <f>_xlfn.LET(
    _xlpm.k, tRealMM[[#This Row],[Tiempo2]],
    IF(_xlpm.k="", "", _xlpm.k)
  )</f>
        <v/>
      </c>
      <c r="G87" s="10" t="str">
        <f>_xlfn.LET(
    _xlpm.k, tRealMM[[#This Row],[Puntos]],
    IF(_xlpm.k="", "", _xlpm.k)
  )</f>
        <v/>
      </c>
      <c r="H8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8" spans="1:8" x14ac:dyDescent="0.2">
      <c r="A88" s="8">
        <v>85</v>
      </c>
      <c r="B88" s="8" t="str" cm="1">
        <f t="array" aca="1" ref="B8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MORA GARCÍA, ALFONSO</v>
      </c>
      <c r="C88" s="8" cm="1">
        <f t="array" aca="1" ref="C88" ca="1">INDEX(tRealMM[Año],RANDBETWEEN(1,ROWS(tRealMM[Apellido2])))</f>
        <v>1992</v>
      </c>
      <c r="D88" s="8" t="str" cm="1">
        <f t="array" aca="1" ref="D88" ca="1">INDEX(tRealMM[clubFórmula],RANDBETWEEN(1,ROWS(tRealMM[Apellido2])))</f>
        <v>Club Deportivo Oca S.O.S</v>
      </c>
      <c r="E88" s="9">
        <f>tRealMM[[#This Row],[Tiempo1]]</f>
        <v>0.16878472222222221</v>
      </c>
      <c r="F88" s="9" t="str">
        <f>_xlfn.LET(
    _xlpm.k, tRealMM[[#This Row],[Tiempo2]],
    IF(_xlpm.k="", "", _xlpm.k)
  )</f>
        <v/>
      </c>
      <c r="G88" s="10">
        <f>_xlfn.LET(
    _xlpm.k, tRealMM[[#This Row],[Puntos]],
    IF(_xlpm.k="", "", _xlpm.k)
  )</f>
        <v>1</v>
      </c>
      <c r="H8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89" spans="1:8" x14ac:dyDescent="0.2">
      <c r="A89" s="8">
        <v>86</v>
      </c>
      <c r="B89" s="8" t="str" cm="1">
        <f t="array" aca="1" ref="B8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ALVAREZ ALONSO, JOSE VICTOR</v>
      </c>
      <c r="C89" s="8" cm="1">
        <f t="array" aca="1" ref="C89" ca="1">INDEX(tRealMM[Año],RANDBETWEEN(1,ROWS(tRealMM[Apellido2])))</f>
        <v>1966</v>
      </c>
      <c r="D89" s="8" t="str" cm="1">
        <f t="array" aca="1" ref="D89" ca="1">INDEX(tRealMM[clubFórmula],RANDBETWEEN(1,ROWS(tRealMM[Apellido2])))</f>
        <v>Club Deportivo Oca S.O.S</v>
      </c>
      <c r="E89" s="9">
        <f>tRealMM[[#This Row],[Tiempo1]]</f>
        <v>0.18586805555555555</v>
      </c>
      <c r="F89" s="9" t="str">
        <f>_xlfn.LET(
    _xlpm.k, tRealMM[[#This Row],[Tiempo2]],
    IF(_xlpm.k="", "", _xlpm.k)
  )</f>
        <v/>
      </c>
      <c r="G89" s="10" t="str">
        <f>_xlfn.LET(
    _xlpm.k, tRealMM[[#This Row],[Puntos]],
    IF(_xlpm.k="", "", _xlpm.k)
  )</f>
        <v/>
      </c>
      <c r="H8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90" spans="1:8" x14ac:dyDescent="0.2">
      <c r="A90" s="8">
        <v>87</v>
      </c>
      <c r="B90" s="8" t="str" cm="1">
        <f t="array" aca="1" ref="B9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CAGIGAL CALVO, CARLOS DANIEL</v>
      </c>
      <c r="C90" s="8" cm="1">
        <f t="array" aca="1" ref="C90" ca="1">INDEX(tRealMM[Año],RANDBETWEEN(1,ROWS(tRealMM[Apellido2])))</f>
        <v>1966</v>
      </c>
      <c r="D90" s="8" t="str" cm="1">
        <f t="array" aca="1" ref="D90" ca="1">INDEX(tRealMM[clubFórmula],RANDBETWEEN(1,ROWS(tRealMM[Apellido2])))</f>
        <v>Club Natación Martiánez Coral Hotels</v>
      </c>
      <c r="E90" s="9" t="str">
        <f>tRealMM[[#This Row],[Tiempo1]]</f>
        <v>Baja</v>
      </c>
      <c r="F90" s="9" t="str">
        <f>_xlfn.LET(
    _xlpm.k, tRealMM[[#This Row],[Tiempo2]],
    IF(_xlpm.k="", "", _xlpm.k)
  )</f>
        <v/>
      </c>
      <c r="G90" s="10" t="str">
        <f>_xlfn.LET(
    _xlpm.k, tRealMM[[#This Row],[Puntos]],
    IF(_xlpm.k="", "", _xlpm.k)
  )</f>
        <v/>
      </c>
      <c r="H9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91" spans="1:8" x14ac:dyDescent="0.2">
      <c r="A91" s="8">
        <v>88</v>
      </c>
      <c r="B91" s="8" t="str" cm="1">
        <f t="array" aca="1" ref="B9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CANAL PEREDA, MIGUEL</v>
      </c>
      <c r="C91" s="8" cm="1">
        <f t="array" aca="1" ref="C91" ca="1">INDEX(tRealMM[Año],RANDBETWEEN(1,ROWS(tRealMM[Apellido2])))</f>
        <v>1978</v>
      </c>
      <c r="D91" s="8" t="str" cm="1">
        <f t="array" aca="1" ref="D91" ca="1">INDEX(tRealMM[clubFórmula],RANDBETWEEN(1,ROWS(tRealMM[Apellido2])))</f>
        <v>Club Leucante</v>
      </c>
      <c r="E91" s="9" t="str">
        <f>tRealMM[[#This Row],[Tiempo1]]</f>
        <v>Baja</v>
      </c>
      <c r="F91" s="9" t="str">
        <f>_xlfn.LET(
    _xlpm.k, tRealMM[[#This Row],[Tiempo2]],
    IF(_xlpm.k="", "", _xlpm.k)
  )</f>
        <v/>
      </c>
      <c r="G91" s="10" t="str">
        <f>_xlfn.LET(
    _xlpm.k, tRealMM[[#This Row],[Puntos]],
    IF(_xlpm.k="", "", _xlpm.k)
  )</f>
        <v/>
      </c>
      <c r="H9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50-54</v>
      </c>
    </row>
    <row r="92" spans="1:8" x14ac:dyDescent="0.2">
      <c r="A92" s="8">
        <v>89</v>
      </c>
      <c r="B92" s="8" t="str" cm="1">
        <f t="array" aca="1" ref="B9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SANCHEZ, GONZALO</v>
      </c>
      <c r="C92" s="8" cm="1">
        <f t="array" aca="1" ref="C92" ca="1">INDEX(tRealMM[Año],RANDBETWEEN(1,ROWS(tRealMM[Apellido2])))</f>
        <v>1967</v>
      </c>
      <c r="D92" s="8" t="str" cm="1">
        <f t="array" aca="1" ref="D92" ca="1">INDEX(tRealMM[clubFórmula],RANDBETWEEN(1,ROWS(tRealMM[Apellido2])))</f>
        <v>C.D.E Pacífico Salvamento</v>
      </c>
      <c r="E92" s="9">
        <f>tRealMM[[#This Row],[Tiempo1]]</f>
        <v>4.7928240740740743E-2</v>
      </c>
      <c r="F92" s="9" t="str">
        <f>_xlfn.LET(
    _xlpm.k, tRealMM[[#This Row],[Tiempo2]],
    IF(_xlpm.k="", "", _xlpm.k)
  )</f>
        <v/>
      </c>
      <c r="G92" s="10">
        <f>_xlfn.LET(
    _xlpm.k, tRealMM[[#This Row],[Puntos]],
    IF(_xlpm.k="", "", _xlpm.k)
  )</f>
        <v>20</v>
      </c>
      <c r="H9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3" spans="1:8" x14ac:dyDescent="0.2">
      <c r="A93" s="8">
        <v>90</v>
      </c>
      <c r="B93" s="8" t="str" cm="1">
        <f t="array" aca="1" ref="B9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GÓMEZ ATTILA, JESUS MARIA</v>
      </c>
      <c r="C93" s="8" cm="1">
        <f t="array" aca="1" ref="C93" ca="1">INDEX(tRealMM[Año],RANDBETWEEN(1,ROWS(tRealMM[Apellido2])))</f>
        <v>1973</v>
      </c>
      <c r="D93" s="8" t="str" cm="1">
        <f t="array" aca="1" ref="D93" ca="1">INDEX(tRealMM[clubFórmula],RANDBETWEEN(1,ROWS(tRealMM[Apellido2])))</f>
        <v>Club Deportivo Oca S.O.S</v>
      </c>
      <c r="E93" s="9">
        <f>tRealMM[[#This Row],[Tiempo1]]</f>
        <v>4.974537037037037E-2</v>
      </c>
      <c r="F93" s="8" t="str">
        <f>_xlfn.LET(
    _xlpm.k, tRealMM[[#This Row],[Tiempo2]],
    IF(_xlpm.k="", "", _xlpm.k)
  )</f>
        <v/>
      </c>
      <c r="G93" s="8">
        <f>_xlfn.LET(
    _xlpm.k, tRealMM[[#This Row],[Puntos]],
    IF(_xlpm.k="", "", _xlpm.k)
  )</f>
        <v>18</v>
      </c>
      <c r="H9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4" spans="1:8" x14ac:dyDescent="0.2">
      <c r="A94" s="8">
        <v>91</v>
      </c>
      <c r="B94" s="8" t="str" cm="1">
        <f t="array" aca="1" ref="B9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VIEJO JIMÉNEZ, JESUS MARIA</v>
      </c>
      <c r="C94" s="8" cm="1">
        <f t="array" aca="1" ref="C94" ca="1">INDEX(tRealMM[Año],RANDBETWEEN(1,ROWS(tRealMM[Apellido2])))</f>
        <v>1963</v>
      </c>
      <c r="D94" s="8" t="str" cm="1">
        <f t="array" aca="1" ref="D94" ca="1">INDEX(tRealMM[clubFórmula],RANDBETWEEN(1,ROWS(tRealMM[Apellido2])))</f>
        <v>Real Club Náutico de Tenerife</v>
      </c>
      <c r="E94" s="9">
        <f>tRealMM[[#This Row],[Tiempo1]]</f>
        <v>5.167824074074074E-2</v>
      </c>
      <c r="F94" s="8" t="str">
        <f>_xlfn.LET(
    _xlpm.k, tRealMM[[#This Row],[Tiempo2]],
    IF(_xlpm.k="", "", _xlpm.k)
  )</f>
        <v/>
      </c>
      <c r="G94" s="8">
        <f>_xlfn.LET(
    _xlpm.k, tRealMM[[#This Row],[Puntos]],
    IF(_xlpm.k="", "", _xlpm.k)
  )</f>
        <v>16</v>
      </c>
      <c r="H9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95" spans="1:8" x14ac:dyDescent="0.2">
      <c r="A95" s="8">
        <v>92</v>
      </c>
      <c r="B95" s="8" t="str" cm="1">
        <f t="array" aca="1" ref="B9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SIMÓN PEREZ, JONATHAN</v>
      </c>
      <c r="C95" s="8" cm="1">
        <f t="array" aca="1" ref="C95" ca="1">INDEX(tRealMM[Año],RANDBETWEEN(1,ROWS(tRealMM[Apellido2])))</f>
        <v>1962</v>
      </c>
      <c r="D95" s="8" t="str" cm="1">
        <f t="array" aca="1" ref="D95" ca="1">INDEX(tRealMM[clubFórmula],RANDBETWEEN(1,ROWS(tRealMM[Apellido2])))</f>
        <v>Alcarreño de Salvamento y Socorrismo</v>
      </c>
      <c r="E95" s="9">
        <f>tRealMM[[#This Row],[Tiempo1]]</f>
        <v>5.2199074074074071E-2</v>
      </c>
      <c r="F95" s="8" t="str">
        <f>_xlfn.LET(
    _xlpm.k, tRealMM[[#This Row],[Tiempo2]],
    IF(_xlpm.k="", "", _xlpm.k)
  )</f>
        <v/>
      </c>
      <c r="G95" s="8">
        <f>_xlfn.LET(
    _xlpm.k, tRealMM[[#This Row],[Puntos]],
    IF(_xlpm.k="", "", _xlpm.k)
  )</f>
        <v>14</v>
      </c>
      <c r="H9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6" spans="1:8" x14ac:dyDescent="0.2">
      <c r="A96" s="8">
        <v>93</v>
      </c>
      <c r="B96" s="8" t="str" cm="1">
        <f t="array" aca="1" ref="B9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CRUZ PASCUAL, ANDRÉS</v>
      </c>
      <c r="C96" s="8" cm="1">
        <f t="array" aca="1" ref="C96" ca="1">INDEX(tRealMM[Año],RANDBETWEEN(1,ROWS(tRealMM[Apellido2])))</f>
        <v>1995</v>
      </c>
      <c r="D96" s="8" t="str" cm="1">
        <f t="array" aca="1" ref="D96" ca="1">INDEX(tRealMM[clubFórmula],RANDBETWEEN(1,ROWS(tRealMM[Apellido2])))</f>
        <v>Club Deportivo Sirenas de Catarroja</v>
      </c>
      <c r="E96" s="9">
        <f>tRealMM[[#This Row],[Tiempo1]]</f>
        <v>5.3124999999999999E-2</v>
      </c>
      <c r="F96" s="8" t="str">
        <f>_xlfn.LET(
    _xlpm.k, tRealMM[[#This Row],[Tiempo2]],
    IF(_xlpm.k="", "", _xlpm.k)
  )</f>
        <v/>
      </c>
      <c r="G96" s="8">
        <f>_xlfn.LET(
    _xlpm.k, tRealMM[[#This Row],[Puntos]],
    IF(_xlpm.k="", "", _xlpm.k)
  )</f>
        <v>13</v>
      </c>
      <c r="H9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7" spans="1:11" x14ac:dyDescent="0.2">
      <c r="A97" s="8">
        <v>94</v>
      </c>
      <c r="B97" s="8" t="str" cm="1">
        <f t="array" aca="1" ref="B9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GORDÓN VELEZ, JAVIER</v>
      </c>
      <c r="C97" s="8" cm="1">
        <f t="array" aca="1" ref="C97" ca="1">INDEX(tRealMM[Año],RANDBETWEEN(1,ROWS(tRealMM[Apellido2])))</f>
        <v>1967</v>
      </c>
      <c r="D97" s="8" t="str" cm="1">
        <f t="array" aca="1" ref="D97" ca="1">INDEX(tRealMM[clubFórmula],RANDBETWEEN(1,ROWS(tRealMM[Apellido2])))</f>
        <v>Club Salvamento Los Locos</v>
      </c>
      <c r="E97" s="9">
        <f>tRealMM[[#This Row],[Tiempo1]]</f>
        <v>5.3113425925925925E-2</v>
      </c>
      <c r="F97" s="8" t="str">
        <f>_xlfn.LET(
    _xlpm.k, tRealMM[[#This Row],[Tiempo2]],
    IF(_xlpm.k="", "", _xlpm.k)
  )</f>
        <v/>
      </c>
      <c r="G97" s="8">
        <f>_xlfn.LET(
    _xlpm.k, tRealMM[[#This Row],[Puntos]],
    IF(_xlpm.k="", "", _xlpm.k)
  )</f>
        <v>12</v>
      </c>
      <c r="H9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8" spans="1:11" x14ac:dyDescent="0.2">
      <c r="A98" s="8">
        <v>95</v>
      </c>
      <c r="B98" s="8" t="str" cm="1">
        <f t="array" aca="1" ref="B9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RADA PRIETO, MARCOS</v>
      </c>
      <c r="C98" s="8" cm="1">
        <f t="array" aca="1" ref="C98" ca="1">INDEX(tRealMM[Año],RANDBETWEEN(1,ROWS(tRealMM[Apellido2])))</f>
        <v>1978</v>
      </c>
      <c r="D98" s="8" t="str" cm="1">
        <f t="array" aca="1" ref="D98" ca="1">INDEX(tRealMM[clubFórmula],RANDBETWEEN(1,ROWS(tRealMM[Apellido2])))</f>
        <v>Club Natació Salou</v>
      </c>
      <c r="E98" s="9">
        <f>tRealMM[[#This Row],[Tiempo1]]</f>
        <v>5.364583333333333E-2</v>
      </c>
      <c r="F98" s="8" t="str">
        <f>_xlfn.LET(
    _xlpm.k, tRealMM[[#This Row],[Tiempo2]],
    IF(_xlpm.k="", "", _xlpm.k)
  )</f>
        <v/>
      </c>
      <c r="G98" s="8">
        <f>_xlfn.LET(
    _xlpm.k, tRealMM[[#This Row],[Puntos]],
    IF(_xlpm.k="", "", _xlpm.k)
  )</f>
        <v>11</v>
      </c>
      <c r="H9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99" spans="1:11" x14ac:dyDescent="0.2">
      <c r="A99" s="8">
        <v>96</v>
      </c>
      <c r="B99" s="8" t="str" cm="1">
        <f t="array" aca="1" ref="B9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 xml:space="preserve">GARCIA BARRUFET, </v>
      </c>
      <c r="C99" s="8" cm="1">
        <f t="array" aca="1" ref="C99" ca="1">INDEX(tRealMM[Año],RANDBETWEEN(1,ROWS(tRealMM[Apellido2])))</f>
        <v>1956</v>
      </c>
      <c r="D99" s="8" t="str" cm="1">
        <f t="array" aca="1" ref="D99" ca="1">INDEX(tRealMM[clubFórmula],RANDBETWEEN(1,ROWS(tRealMM[Apellido2])))</f>
        <v>C.D.B. Vallecas S.O.S</v>
      </c>
      <c r="E99" s="9">
        <f>tRealMM[[#This Row],[Tiempo1]]</f>
        <v>5.4606481481481478E-2</v>
      </c>
      <c r="F99" s="8" t="str">
        <f>_xlfn.LET(
    _xlpm.k, tRealMM[[#This Row],[Tiempo2]],
    IF(_xlpm.k="", "", _xlpm.k)
  )</f>
        <v/>
      </c>
      <c r="G99" s="8">
        <f>_xlfn.LET(
    _xlpm.k, tRealMM[[#This Row],[Puntos]],
    IF(_xlpm.k="", "", _xlpm.k)
  )</f>
        <v>10</v>
      </c>
      <c r="H9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0" spans="1:11" x14ac:dyDescent="0.2">
      <c r="A100" s="8">
        <v>97</v>
      </c>
      <c r="B100" s="8" t="str" cm="1">
        <f t="array" aca="1" ref="B10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DURANGO MARTINEZ, JUAN ANTONIO</v>
      </c>
      <c r="C100" s="8" cm="1">
        <f t="array" aca="1" ref="C100" ca="1">INDEX(tRealMM[Año],RANDBETWEEN(1,ROWS(tRealMM[Apellido2])))</f>
        <v>1992</v>
      </c>
      <c r="D100" s="8" t="str" cm="1">
        <f t="array" aca="1" ref="D100" ca="1">INDEX(tRealMM[clubFórmula],RANDBETWEEN(1,ROWS(tRealMM[Apellido2])))</f>
        <v>Natación RACE</v>
      </c>
      <c r="E100" s="9">
        <f>tRealMM[[#This Row],[Tiempo1]]</f>
        <v>5.451388888888889E-2</v>
      </c>
      <c r="F100" s="8" t="str">
        <f>_xlfn.LET(
    _xlpm.k, tRealMM[[#This Row],[Tiempo2]],
    IF(_xlpm.k="", "", _xlpm.k)
  )</f>
        <v/>
      </c>
      <c r="G100" s="8">
        <f>_xlfn.LET(
    _xlpm.k, tRealMM[[#This Row],[Puntos]],
    IF(_xlpm.k="", "", _xlpm.k)
  )</f>
        <v>8</v>
      </c>
      <c r="H10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1" spans="1:11" x14ac:dyDescent="0.2">
      <c r="A101" s="8">
        <v>98</v>
      </c>
      <c r="B101" s="8" t="str" cm="1">
        <f t="array" aca="1" ref="B10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CULEBRAS SANTAFÉ, JOSE LUIS</v>
      </c>
      <c r="C101" s="8" cm="1">
        <f t="array" aca="1" ref="C101" ca="1">INDEX(tRealMM[Año],RANDBETWEEN(1,ROWS(tRealMM[Apellido2])))</f>
        <v>1970</v>
      </c>
      <c r="D101" s="8" t="str" cm="1">
        <f t="array" aca="1" ref="D101" ca="1">INDEX(tRealMM[clubFórmula],RANDBETWEEN(1,ROWS(tRealMM[Apellido2])))</f>
        <v>C.D.E Pacífico Salvamento</v>
      </c>
      <c r="E101" s="9">
        <f>tRealMM[[#This Row],[Tiempo1]]</f>
        <v>5.5312500000000001E-2</v>
      </c>
      <c r="F101" s="8" t="str">
        <f>_xlfn.LET(
    _xlpm.k, tRealMM[[#This Row],[Tiempo2]],
    IF(_xlpm.k="", "", _xlpm.k)
  )</f>
        <v/>
      </c>
      <c r="G101" s="8">
        <f>_xlfn.LET(
    _xlpm.k, tRealMM[[#This Row],[Puntos]],
    IF(_xlpm.k="", "", _xlpm.k)
  )</f>
        <v>7</v>
      </c>
      <c r="H10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2" spans="1:11" x14ac:dyDescent="0.2">
      <c r="A102" s="8">
        <v>99</v>
      </c>
      <c r="B102" s="8" t="str" cm="1">
        <f t="array" aca="1" ref="B10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SÁNCHEZ DE LEÓN TRONCOSO, CARLOS DANIEL</v>
      </c>
      <c r="C102" s="8" cm="1">
        <f t="array" aca="1" ref="C102" ca="1">INDEX(tRealMM[Año],RANDBETWEEN(1,ROWS(tRealMM[Apellido2])))</f>
        <v>1978</v>
      </c>
      <c r="D102" s="8" t="str" cm="1">
        <f t="array" aca="1" ref="D102" ca="1">INDEX(tRealMM[clubFórmula],RANDBETWEEN(1,ROWS(tRealMM[Apellido2])))</f>
        <v>Natación RACE</v>
      </c>
      <c r="E102" s="9">
        <f>tRealMM[[#This Row],[Tiempo1]]</f>
        <v>5.6365740740740744E-2</v>
      </c>
      <c r="F102" s="8" t="str">
        <f>_xlfn.LET(
    _xlpm.k, tRealMM[[#This Row],[Tiempo2]],
    IF(_xlpm.k="", "", _xlpm.k)
  )</f>
        <v/>
      </c>
      <c r="G102" s="8">
        <f>_xlfn.LET(
    _xlpm.k, tRealMM[[#This Row],[Puntos]],
    IF(_xlpm.k="", "", _xlpm.k)
  )</f>
        <v>6</v>
      </c>
      <c r="H10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3" spans="1:11" x14ac:dyDescent="0.2">
      <c r="A103" s="8">
        <v>100</v>
      </c>
      <c r="B103" s="8" t="str" cm="1">
        <f t="array" aca="1" ref="B10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DEL CASTILLO OLIVARES, JUAN JOSE</v>
      </c>
      <c r="C103" s="8" cm="1">
        <f t="array" aca="1" ref="C103" ca="1">INDEX(tRealMM[Año],RANDBETWEEN(1,ROWS(tRealMM[Apellido2])))</f>
        <v>1995</v>
      </c>
      <c r="D103" s="8" t="str" cm="1">
        <f t="array" aca="1" ref="D103" ca="1">INDEX(tRealMM[clubFórmula],RANDBETWEEN(1,ROWS(tRealMM[Apellido2])))</f>
        <v>Alcarreño de Salvamento y Socorrismo</v>
      </c>
      <c r="E103" s="9">
        <f>tRealMM[[#This Row],[Tiempo1]]</f>
        <v>5.6631944444444443E-2</v>
      </c>
      <c r="F103" s="8" t="str">
        <f>_xlfn.LET(
    _xlpm.k, tRealMM[[#This Row],[Tiempo2]],
    IF(_xlpm.k="", "", _xlpm.k)
  )</f>
        <v/>
      </c>
      <c r="G103" s="8">
        <f>_xlfn.LET(
    _xlpm.k, tRealMM[[#This Row],[Puntos]],
    IF(_xlpm.k="", "", _xlpm.k)
  )</f>
        <v>5</v>
      </c>
      <c r="H10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4" spans="1:11" x14ac:dyDescent="0.2">
      <c r="A104" s="8">
        <v>101</v>
      </c>
      <c r="B104" s="8" t="str" cm="1">
        <f t="array" aca="1" ref="B10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HERRERIA SORRIVAS, JAVIER</v>
      </c>
      <c r="C104" s="8" cm="1">
        <f t="array" aca="1" ref="C104" ca="1">INDEX(tRealMM[Año],RANDBETWEEN(1,ROWS(tRealMM[Apellido2])))</f>
        <v>1975</v>
      </c>
      <c r="D104" s="8" t="str" cm="1">
        <f t="array" aca="1" ref="D104" ca="1">INDEX(tRealMM[clubFórmula],RANDBETWEEN(1,ROWS(tRealMM[Apellido2])))</f>
        <v>Club Natación SOS Bétera</v>
      </c>
      <c r="E104" s="9">
        <f>tRealMM[[#This Row],[Tiempo1]]</f>
        <v>5.7685185185185187E-2</v>
      </c>
      <c r="F104" s="8" t="str">
        <f>_xlfn.LET(
    _xlpm.k, tRealMM[[#This Row],[Tiempo2]],
    IF(_xlpm.k="", "", _xlpm.k)
  )</f>
        <v/>
      </c>
      <c r="G104" s="8">
        <f>_xlfn.LET(
    _xlpm.k, tRealMM[[#This Row],[Puntos]],
    IF(_xlpm.k="", "", _xlpm.k)
  )</f>
        <v>4</v>
      </c>
      <c r="H10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5" spans="1:11" x14ac:dyDescent="0.2">
      <c r="A105" s="8">
        <v>102</v>
      </c>
      <c r="B105" s="8" t="str" cm="1">
        <f t="array" aca="1" ref="B10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SIMÓN GARCÍA, CARLOS DANIEL</v>
      </c>
      <c r="C105" s="8" cm="1">
        <f t="array" aca="1" ref="C105" ca="1">INDEX(tRealMM[Año],RANDBETWEEN(1,ROWS(tRealMM[Apellido2])))</f>
        <v>1963</v>
      </c>
      <c r="D105" s="8" t="str" cm="1">
        <f t="array" aca="1" ref="D105" ca="1">INDEX(tRealMM[clubFórmula],RANDBETWEEN(1,ROWS(tRealMM[Apellido2])))</f>
        <v>Natación RACE</v>
      </c>
      <c r="E105" s="9">
        <f>tRealMM[[#This Row],[Tiempo1]]</f>
        <v>5.8414351851851849E-2</v>
      </c>
      <c r="F105" s="8" t="str">
        <f>_xlfn.LET(
    _xlpm.k, tRealMM[[#This Row],[Tiempo2]],
    IF(_xlpm.k="", "", _xlpm.k)
  )</f>
        <v/>
      </c>
      <c r="G105" s="8">
        <f>_xlfn.LET(
    _xlpm.k, tRealMM[[#This Row],[Puntos]],
    IF(_xlpm.k="", "", _xlpm.k)
  )</f>
        <v>3</v>
      </c>
      <c r="H10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06" spans="1:11" x14ac:dyDescent="0.2">
      <c r="A106" s="8">
        <v>103</v>
      </c>
      <c r="B106" s="8" t="str" cm="1">
        <f t="array" aca="1" ref="B10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PEREZ PORTILLA, JOSE LUIS</v>
      </c>
      <c r="C106" s="8" cm="1">
        <f t="array" aca="1" ref="C106" ca="1">INDEX(tRealMM[Año],RANDBETWEEN(1,ROWS(tRealMM[Apellido2])))</f>
        <v>1976</v>
      </c>
      <c r="D106" s="8" t="str" cm="1">
        <f t="array" aca="1" ref="D106" ca="1">INDEX(tRealMM[clubFórmula],RANDBETWEEN(1,ROWS(tRealMM[Apellido2])))</f>
        <v>Loredo Surf Life Saving</v>
      </c>
      <c r="E106" s="9">
        <f>tRealMM[[#This Row],[Tiempo1]]</f>
        <v>5.8703703703703702E-2</v>
      </c>
      <c r="F106" s="8" t="str">
        <f>_xlfn.LET(
    _xlpm.k, tRealMM[[#This Row],[Tiempo2]],
    IF(_xlpm.k="", "", _xlpm.k)
  )</f>
        <v/>
      </c>
      <c r="G106" s="8">
        <f>_xlfn.LET(
    _xlpm.k, tRealMM[[#This Row],[Puntos]],
    IF(_xlpm.k="", "", _xlpm.k)
  )</f>
        <v>2</v>
      </c>
      <c r="H10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07" spans="1:11" x14ac:dyDescent="0.2">
      <c r="A107" s="8">
        <v>104</v>
      </c>
      <c r="B107" s="8" t="str" cm="1">
        <f t="array" aca="1" ref="B10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TRIBALDOS MARTÍN, DANIEL</v>
      </c>
      <c r="C107" s="8" cm="1">
        <f t="array" aca="1" ref="C107" ca="1">INDEX(tRealMM[Año],RANDBETWEEN(1,ROWS(tRealMM[Apellido2])))</f>
        <v>1970</v>
      </c>
      <c r="D107" s="8" t="str" cm="1">
        <f t="array" aca="1" ref="D107" ca="1">INDEX(tRealMM[clubFórmula],RANDBETWEEN(1,ROWS(tRealMM[Apellido2])))</f>
        <v>Natación RACE</v>
      </c>
      <c r="E107" s="9">
        <f>tRealMM[[#This Row],[Tiempo1]]</f>
        <v>6.1053240740740741E-2</v>
      </c>
      <c r="F107" s="8" t="str">
        <f>_xlfn.LET(
    _xlpm.k, tRealMM[[#This Row],[Tiempo2]],
    IF(_xlpm.k="", "", _xlpm.k)
  )</f>
        <v/>
      </c>
      <c r="G107" s="8" t="str">
        <f>_xlfn.LET(
    _xlpm.k, tRealMM[[#This Row],[Puntos]],
    IF(_xlpm.k="", "", _xlpm.k)
  )</f>
        <v/>
      </c>
      <c r="H10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08" spans="1:11" x14ac:dyDescent="0.2">
      <c r="A108" s="8">
        <v>105</v>
      </c>
      <c r="B108" s="8" t="str" cm="1">
        <f t="array" aca="1" ref="B10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VARGA MORENO, LUIS ALFREDO</v>
      </c>
      <c r="C108" s="8" cm="1">
        <f t="array" aca="1" ref="C108" ca="1">INDEX(tRealMM[Año],RANDBETWEEN(1,ROWS(tRealMM[Apellido2])))</f>
        <v>1977</v>
      </c>
      <c r="D108" s="8" t="str" cm="1">
        <f t="array" aca="1" ref="D108" ca="1">INDEX(tRealMM[clubFórmula],RANDBETWEEN(1,ROWS(tRealMM[Apellido2])))</f>
        <v>C.D.B. Vallecas S.O.S</v>
      </c>
      <c r="E108" s="9">
        <f>tRealMM[[#This Row],[Tiempo1]]</f>
        <v>6.1655092592592595E-2</v>
      </c>
      <c r="F108" s="8" t="str">
        <f>_xlfn.LET(
    _xlpm.k, tRealMM[[#This Row],[Tiempo2]],
    IF(_xlpm.k="", "", _xlpm.k)
  )</f>
        <v/>
      </c>
      <c r="G108" s="8" t="str">
        <f>_xlfn.LET(
    _xlpm.k, tRealMM[[#This Row],[Puntos]],
    IF(_xlpm.k="", "", _xlpm.k)
  )</f>
        <v/>
      </c>
      <c r="H10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09" spans="1:11" x14ac:dyDescent="0.2">
      <c r="A109" s="8">
        <v>106</v>
      </c>
      <c r="B109" s="8" t="str" cm="1">
        <f t="array" aca="1" ref="B10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PISO SAIZ, ALEJANDRO</v>
      </c>
      <c r="C109" s="8" cm="1">
        <f t="array" aca="1" ref="C109" ca="1">INDEX(tRealMM[Año],RANDBETWEEN(1,ROWS(tRealMM[Apellido2])))</f>
        <v>1965</v>
      </c>
      <c r="D109" s="8" t="str" cm="1">
        <f t="array" aca="1" ref="D109" ca="1">INDEX(tRealMM[clubFórmula],RANDBETWEEN(1,ROWS(tRealMM[Apellido2])))</f>
        <v>C.D.E Pacífico Salvamento</v>
      </c>
      <c r="E109" s="9">
        <f>tRealMM[[#This Row],[Tiempo1]]</f>
        <v>6.3506944444444449E-2</v>
      </c>
      <c r="F109" s="8" t="str">
        <f>_xlfn.LET(
    _xlpm.k, tRealMM[[#This Row],[Tiempo2]],
    IF(_xlpm.k="", "", _xlpm.k)
  )</f>
        <v/>
      </c>
      <c r="G109" s="8" t="str">
        <f>_xlfn.LET(
    _xlpm.k, tRealMM[[#This Row],[Puntos]],
    IF(_xlpm.k="", "", _xlpm.k)
  )</f>
        <v/>
      </c>
      <c r="H10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10" spans="1:11" x14ac:dyDescent="0.2">
      <c r="A110" s="8">
        <v>107</v>
      </c>
      <c r="B110" s="8" t="str" cm="1">
        <f t="array" aca="1" ref="B11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CORTES SIERRA, FERNANDO</v>
      </c>
      <c r="C110" s="8" cm="1">
        <f t="array" aca="1" ref="C110" ca="1">INDEX(tRealMM[Año],RANDBETWEEN(1,ROWS(tRealMM[Apellido2])))</f>
        <v>1973</v>
      </c>
      <c r="D110" s="8" t="str" cm="1">
        <f t="array" aca="1" ref="D110" ca="1">INDEX(tRealMM[clubFórmula],RANDBETWEEN(1,ROWS(tRealMM[Apellido2])))</f>
        <v>Club Salvamento Los Locos</v>
      </c>
      <c r="E110" s="9">
        <f>tRealMM[[#This Row],[Tiempo1]]</f>
        <v>6.6018518518518518E-2</v>
      </c>
      <c r="F110" s="8" t="str">
        <f>_xlfn.LET(
    _xlpm.k, tRealMM[[#This Row],[Tiempo2]],
    IF(_xlpm.k="", "", _xlpm.k)
  )</f>
        <v/>
      </c>
      <c r="G110" s="8" t="str">
        <f>_xlfn.LET(
    _xlpm.k, tRealMM[[#This Row],[Puntos]],
    IF(_xlpm.k="", "", _xlpm.k)
  )</f>
        <v/>
      </c>
      <c r="H11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</row>
    <row r="111" spans="1:11" x14ac:dyDescent="0.2">
      <c r="A111" s="8">
        <v>108</v>
      </c>
      <c r="B111" s="8" t="str" cm="1">
        <f t="array" aca="1" ref="B11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CORDERO CEJAS, JUAN</v>
      </c>
      <c r="C111" s="8" cm="1">
        <f t="array" aca="1" ref="C111" ca="1">INDEX(tRealMM[Año],RANDBETWEEN(1,ROWS(tRealMM[Apellido2])))</f>
        <v>1994</v>
      </c>
      <c r="D111" s="8" t="str" cm="1">
        <f t="array" aca="1" ref="D111" ca="1">INDEX(tRealMM[clubFórmula],RANDBETWEEN(1,ROWS(tRealMM[Apellido2])))</f>
        <v>Club Deportivo Oca S.O.S</v>
      </c>
      <c r="E111" s="9">
        <f>tRealMM[[#This Row],[Tiempo1]]</f>
        <v>6.6111111111111107E-2</v>
      </c>
      <c r="F111" s="8" t="str">
        <f>_xlfn.LET(
    _xlpm.k, tRealMM[[#This Row],[Tiempo2]],
    IF(_xlpm.k="", "", _xlpm.k)
  )</f>
        <v/>
      </c>
      <c r="G111" s="8" t="str">
        <f>_xlfn.LET(
    _xlpm.k, tRealMM[[#This Row],[Puntos]],
    IF(_xlpm.k="", "", _xlpm.k)
  )</f>
        <v/>
      </c>
      <c r="H11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J111" s="15"/>
      <c r="K111" s="15"/>
    </row>
    <row r="112" spans="1:11" x14ac:dyDescent="0.2">
      <c r="A112" s="8">
        <v>109</v>
      </c>
      <c r="B112" s="8" t="str" cm="1">
        <f t="array" aca="1" ref="B11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BLANCO ABELLA, CARLOS</v>
      </c>
      <c r="C112" s="8" cm="1">
        <f t="array" aca="1" ref="C112" ca="1">INDEX(tRealMM[Año],RANDBETWEEN(1,ROWS(tRealMM[Apellido2])))</f>
        <v>1974</v>
      </c>
      <c r="D112" s="8" t="str" cm="1">
        <f t="array" aca="1" ref="D112" ca="1">INDEX(tRealMM[clubFórmula],RANDBETWEEN(1,ROWS(tRealMM[Apellido2])))</f>
        <v>C.D.E Pacífico Salvamento</v>
      </c>
      <c r="E112" s="9">
        <f>tRealMM[[#This Row],[Tiempo1]]</f>
        <v>6.7384259259259255E-2</v>
      </c>
      <c r="F112" s="8" t="str">
        <f>_xlfn.LET(
    _xlpm.k, tRealMM[[#This Row],[Tiempo2]],
    IF(_xlpm.k="", "", _xlpm.k)
  )</f>
        <v/>
      </c>
      <c r="G112" s="8" t="str">
        <f>_xlfn.LET(
    _xlpm.k, tRealMM[[#This Row],[Puntos]],
    IF(_xlpm.k="", "", _xlpm.k)
  )</f>
        <v/>
      </c>
      <c r="H11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  <c r="J112" s="15"/>
    </row>
    <row r="113" spans="1:13" x14ac:dyDescent="0.2">
      <c r="A113" s="8">
        <v>110</v>
      </c>
      <c r="B113" s="8" t="str" cm="1">
        <f t="array" aca="1" ref="B11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CEBRIAN PAZ, ELISEO</v>
      </c>
      <c r="C113" s="8" cm="1">
        <f t="array" aca="1" ref="C113" ca="1">INDEX(tRealMM[Año],RANDBETWEEN(1,ROWS(tRealMM[Apellido2])))</f>
        <v>1977</v>
      </c>
      <c r="D113" s="8" t="str" cm="1">
        <f t="array" aca="1" ref="D113" ca="1">INDEX(tRealMM[clubFórmula],RANDBETWEEN(1,ROWS(tRealMM[Apellido2])))</f>
        <v>Club Leucante</v>
      </c>
      <c r="E113" s="9">
        <f>tRealMM[[#This Row],[Tiempo1]]</f>
        <v>7.0196759259259264E-2</v>
      </c>
      <c r="F113" s="8" t="str">
        <f>_xlfn.LET(
    _xlpm.k, tRealMM[[#This Row],[Tiempo2]],
    IF(_xlpm.k="", "", _xlpm.k)
  )</f>
        <v/>
      </c>
      <c r="G113" s="8" t="str">
        <f>_xlfn.LET(
    _xlpm.k, tRealMM[[#This Row],[Puntos]],
    IF(_xlpm.k="", "", _xlpm.k)
  )</f>
        <v/>
      </c>
      <c r="H11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  <c r="J113" s="15"/>
      <c r="K113" s="15"/>
    </row>
    <row r="114" spans="1:13" x14ac:dyDescent="0.2">
      <c r="A114" s="8">
        <v>111</v>
      </c>
      <c r="B114" s="8" t="str" cm="1">
        <f t="array" aca="1" ref="B11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VAZQUEZ PEREZ, MANUEL</v>
      </c>
      <c r="C114" s="8" cm="1">
        <f t="array" aca="1" ref="C114" ca="1">INDEX(tRealMM[Año],RANDBETWEEN(1,ROWS(tRealMM[Apellido2])))</f>
        <v>1962</v>
      </c>
      <c r="D114" s="8" t="str" cm="1">
        <f t="array" aca="1" ref="D114" ca="1">INDEX(tRealMM[clubFórmula],RANDBETWEEN(1,ROWS(tRealMM[Apellido2])))</f>
        <v>Natación RACE</v>
      </c>
      <c r="E114" s="9">
        <f>tRealMM[[#This Row],[Tiempo1]]</f>
        <v>7.4444444444444438E-2</v>
      </c>
      <c r="F114" s="8" t="str">
        <f>_xlfn.LET(
    _xlpm.k, tRealMM[[#This Row],[Tiempo2]],
    IF(_xlpm.k="", "", _xlpm.k)
  )</f>
        <v/>
      </c>
      <c r="G114" s="8" t="str">
        <f>_xlfn.LET(
    _xlpm.k, tRealMM[[#This Row],[Puntos]],
    IF(_xlpm.k="", "", _xlpm.k)
  )</f>
        <v/>
      </c>
      <c r="H11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  <c r="I114" s="15"/>
    </row>
    <row r="115" spans="1:13" x14ac:dyDescent="0.2">
      <c r="A115" s="8">
        <v>112</v>
      </c>
      <c r="B115" s="8" t="str" cm="1">
        <f t="array" aca="1" ref="B11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ÁLVAREZ BARRUFET, CASPAR</v>
      </c>
      <c r="C115" s="8" cm="1">
        <f t="array" aca="1" ref="C115" ca="1">INDEX(tRealMM[Año],RANDBETWEEN(1,ROWS(tRealMM[Apellido2])))</f>
        <v>1976</v>
      </c>
      <c r="D115" s="8" t="str" cm="1">
        <f t="array" aca="1" ref="D115" ca="1">INDEX(tRealMM[clubFórmula],RANDBETWEEN(1,ROWS(tRealMM[Apellido2])))</f>
        <v>C.D 27 Grados</v>
      </c>
      <c r="E115" s="9">
        <f>tRealMM[[#This Row],[Tiempo1]]</f>
        <v>7.9490740740740737E-2</v>
      </c>
      <c r="F115" s="8" t="str">
        <f>_xlfn.LET(
    _xlpm.k, tRealMM[[#This Row],[Tiempo2]],
    IF(_xlpm.k="", "", _xlpm.k)
  )</f>
        <v/>
      </c>
      <c r="G115" s="8" t="str">
        <f>_xlfn.LET(
    _xlpm.k, tRealMM[[#This Row],[Puntos]],
    IF(_xlpm.k="", "", _xlpm.k)
  )</f>
        <v/>
      </c>
      <c r="H11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J115" s="15"/>
      <c r="K115" s="15"/>
    </row>
    <row r="116" spans="1:13" x14ac:dyDescent="0.2">
      <c r="A116" s="8">
        <v>113</v>
      </c>
      <c r="B116" s="8" t="str" cm="1">
        <f t="array" aca="1" ref="B11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TOBARRA PASCUAL, LUIS CARLOS</v>
      </c>
      <c r="C116" s="8" cm="1">
        <f t="array" aca="1" ref="C116" ca="1">INDEX(tRealMM[Año],RANDBETWEEN(1,ROWS(tRealMM[Apellido2])))</f>
        <v>1969</v>
      </c>
      <c r="D116" s="8" t="str" cm="1">
        <f t="array" aca="1" ref="D116" ca="1">INDEX(tRealMM[clubFórmula],RANDBETWEEN(1,ROWS(tRealMM[Apellido2])))</f>
        <v>Natación RACE</v>
      </c>
      <c r="E116" s="9" t="str">
        <f>tRealMM[[#This Row],[Tiempo1]]</f>
        <v>Baja</v>
      </c>
      <c r="F116" s="8" t="str">
        <f>_xlfn.LET(
    _xlpm.k, tRealMM[[#This Row],[Tiempo2]],
    IF(_xlpm.k="", "", _xlpm.k)
  )</f>
        <v/>
      </c>
      <c r="G116" s="8" t="str">
        <f>_xlfn.LET(
    _xlpm.k, tRealMM[[#This Row],[Puntos]],
    IF(_xlpm.k="", "", _xlpm.k)
  )</f>
        <v/>
      </c>
      <c r="H11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55-59</v>
      </c>
      <c r="L116" s="15"/>
      <c r="M116" s="15"/>
    </row>
    <row r="117" spans="1:13" x14ac:dyDescent="0.2">
      <c r="A117" s="8">
        <v>114</v>
      </c>
      <c r="B117" s="8" t="str" cm="1">
        <f t="array" aca="1" ref="B11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GARCIA SANCHEZ, MARIO</v>
      </c>
      <c r="C117" s="8" cm="1">
        <f t="array" aca="1" ref="C117" ca="1">INDEX(tRealMM[Año],RANDBETWEEN(1,ROWS(tRealMM[Apellido2])))</f>
        <v>1980</v>
      </c>
      <c r="D117" s="8" t="str" cm="1">
        <f t="array" aca="1" ref="D117" ca="1">INDEX(tRealMM[clubFórmula],RANDBETWEEN(1,ROWS(tRealMM[Apellido2])))</f>
        <v>Alcarreño de Salvamento y Socorrismo</v>
      </c>
      <c r="E117" s="9">
        <f>tRealMM[[#This Row],[Tiempo1]]</f>
        <v>5.1307870370370372E-2</v>
      </c>
      <c r="F117" s="8" t="str">
        <f>_xlfn.LET(
    _xlpm.k, tRealMM[[#This Row],[Tiempo2]],
    IF(_xlpm.k="", "", _xlpm.k)
  )</f>
        <v/>
      </c>
      <c r="G117" s="8">
        <f>_xlfn.LET(
    _xlpm.k, tRealMM[[#This Row],[Puntos]],
    IF(_xlpm.k="", "", _xlpm.k)
  )</f>
        <v>20</v>
      </c>
      <c r="H11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18" spans="1:13" x14ac:dyDescent="0.2">
      <c r="A118" s="8">
        <v>115</v>
      </c>
      <c r="B118" s="8" t="str" cm="1">
        <f t="array" aca="1" ref="B11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DIAZ FLORES, ALVARO</v>
      </c>
      <c r="C118" s="8" cm="1">
        <f t="array" aca="1" ref="C118" ca="1">INDEX(tRealMM[Año],RANDBETWEEN(1,ROWS(tRealMM[Apellido2])))</f>
        <v>1972</v>
      </c>
      <c r="D118" s="8" t="str" cm="1">
        <f t="array" aca="1" ref="D118" ca="1">INDEX(tRealMM[clubFórmula],RANDBETWEEN(1,ROWS(tRealMM[Apellido2])))</f>
        <v>Club Natació Salou</v>
      </c>
      <c r="E118" s="9">
        <f>tRealMM[[#This Row],[Tiempo1]]</f>
        <v>5.513888888888889E-2</v>
      </c>
      <c r="F118" s="8" t="str">
        <f>_xlfn.LET(
    _xlpm.k, tRealMM[[#This Row],[Tiempo2]],
    IF(_xlpm.k="", "", _xlpm.k)
  )</f>
        <v/>
      </c>
      <c r="G118" s="8">
        <f>_xlfn.LET(
    _xlpm.k, tRealMM[[#This Row],[Puntos]],
    IF(_xlpm.k="", "", _xlpm.k)
  )</f>
        <v>18</v>
      </c>
      <c r="H11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L118" s="15"/>
    </row>
    <row r="119" spans="1:13" x14ac:dyDescent="0.2">
      <c r="A119" s="8">
        <v>116</v>
      </c>
      <c r="B119" s="8" t="str" cm="1">
        <f t="array" aca="1" ref="B11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CAMPOS BARROSO, ÁLVARO</v>
      </c>
      <c r="C119" s="8" cm="1">
        <f t="array" aca="1" ref="C119" ca="1">INDEX(tRealMM[Año],RANDBETWEEN(1,ROWS(tRealMM[Apellido2])))</f>
        <v>1975</v>
      </c>
      <c r="D119" s="8" t="str" cm="1">
        <f t="array" aca="1" ref="D119" ca="1">INDEX(tRealMM[clubFórmula],RANDBETWEEN(1,ROWS(tRealMM[Apellido2])))</f>
        <v>C.D 27 Grados</v>
      </c>
      <c r="E119" s="9">
        <f>tRealMM[[#This Row],[Tiempo1]]</f>
        <v>5.7430555555555554E-2</v>
      </c>
      <c r="F119" s="8" t="str">
        <f>_xlfn.LET(
    _xlpm.k, tRealMM[[#This Row],[Tiempo2]],
    IF(_xlpm.k="", "", _xlpm.k)
  )</f>
        <v/>
      </c>
      <c r="G119" s="8">
        <f>_xlfn.LET(
    _xlpm.k, tRealMM[[#This Row],[Puntos]],
    IF(_xlpm.k="", "", _xlpm.k)
  )</f>
        <v>16</v>
      </c>
      <c r="H11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K119" s="15"/>
      <c r="L119" s="15"/>
    </row>
    <row r="120" spans="1:13" x14ac:dyDescent="0.2">
      <c r="A120" s="8">
        <v>117</v>
      </c>
      <c r="B120" s="8" t="str" cm="1">
        <f t="array" aca="1" ref="B12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FERNANDEZ TRONCOSO, MIGUEL</v>
      </c>
      <c r="C120" s="8" cm="1">
        <f t="array" aca="1" ref="C120" ca="1">INDEX(tRealMM[Año],RANDBETWEEN(1,ROWS(tRealMM[Apellido2])))</f>
        <v>1977</v>
      </c>
      <c r="D120" s="8" t="str" cm="1">
        <f t="array" aca="1" ref="D120" ca="1">INDEX(tRealMM[clubFórmula],RANDBETWEEN(1,ROWS(tRealMM[Apellido2])))</f>
        <v>Club Salvamento Los Locos</v>
      </c>
      <c r="E120" s="9">
        <f>tRealMM[[#This Row],[Tiempo1]]</f>
        <v>5.7881944444444444E-2</v>
      </c>
      <c r="F120" s="8" t="str">
        <f>_xlfn.LET(
    _xlpm.k, tRealMM[[#This Row],[Tiempo2]],
    IF(_xlpm.k="", "", _xlpm.k)
  )</f>
        <v/>
      </c>
      <c r="G120" s="8">
        <f>_xlfn.LET(
    _xlpm.k, tRealMM[[#This Row],[Puntos]],
    IF(_xlpm.k="", "", _xlpm.k)
  )</f>
        <v>14</v>
      </c>
      <c r="H12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1" spans="1:13" x14ac:dyDescent="0.2">
      <c r="A121" s="8">
        <v>118</v>
      </c>
      <c r="B121" s="8" t="str" cm="1">
        <f t="array" aca="1" ref="B12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SERRANO SANCHEZ, DANIEL</v>
      </c>
      <c r="C121" s="8" cm="1">
        <f t="array" aca="1" ref="C121" ca="1">INDEX(tRealMM[Año],RANDBETWEEN(1,ROWS(tRealMM[Apellido2])))</f>
        <v>1970</v>
      </c>
      <c r="D121" s="8" t="str" cm="1">
        <f t="array" aca="1" ref="D121" ca="1">INDEX(tRealMM[clubFórmula],RANDBETWEEN(1,ROWS(tRealMM[Apellido2])))</f>
        <v>Club Deportivo Oca S.O.S</v>
      </c>
      <c r="E121" s="9">
        <f>tRealMM[[#This Row],[Tiempo1]]</f>
        <v>6.4282407407407413E-2</v>
      </c>
      <c r="F121" s="8" t="str">
        <f>_xlfn.LET(
    _xlpm.k, tRealMM[[#This Row],[Tiempo2]],
    IF(_xlpm.k="", "", _xlpm.k)
  )</f>
        <v/>
      </c>
      <c r="G121" s="8">
        <f>_xlfn.LET(
    _xlpm.k, tRealMM[[#This Row],[Puntos]],
    IF(_xlpm.k="", "", _xlpm.k)
  )</f>
        <v>13</v>
      </c>
      <c r="H12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65-69</v>
      </c>
    </row>
    <row r="122" spans="1:13" x14ac:dyDescent="0.2">
      <c r="A122" s="8">
        <v>119</v>
      </c>
      <c r="B122" s="8" t="str" cm="1">
        <f t="array" aca="1" ref="B12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VEIGA SANTOS, RAFAEL</v>
      </c>
      <c r="C122" s="8" cm="1">
        <f t="array" aca="1" ref="C122" ca="1">INDEX(tRealMM[Año],RANDBETWEEN(1,ROWS(tRealMM[Apellido2])))</f>
        <v>1978</v>
      </c>
      <c r="D122" s="8" t="str" cm="1">
        <f t="array" aca="1" ref="D122" ca="1">INDEX(tRealMM[clubFórmula],RANDBETWEEN(1,ROWS(tRealMM[Apellido2])))</f>
        <v>Club Deportivo Sirenas de Catarroja</v>
      </c>
      <c r="E122" s="9">
        <f>tRealMM[[#This Row],[Tiempo1]]</f>
        <v>6.3912037037037031E-2</v>
      </c>
      <c r="F122" s="8" t="str">
        <f>_xlfn.LET(
    _xlpm.k, tRealMM[[#This Row],[Tiempo2]],
    IF(_xlpm.k="", "", _xlpm.k)
  )</f>
        <v/>
      </c>
      <c r="G122" s="8">
        <f>_xlfn.LET(
    _xlpm.k, tRealMM[[#This Row],[Puntos]],
    IF(_xlpm.k="", "", _xlpm.k)
  )</f>
        <v>12</v>
      </c>
      <c r="H12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L122" s="15"/>
    </row>
    <row r="123" spans="1:13" x14ac:dyDescent="0.2">
      <c r="A123" s="8">
        <v>120</v>
      </c>
      <c r="B123" s="8" t="str" cm="1">
        <f t="array" aca="1" ref="B12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REYEROS CONCEPCION, BERNARDO</v>
      </c>
      <c r="C123" s="8" cm="1">
        <f t="array" aca="1" ref="C123" ca="1">INDEX(tRealMM[Año],RANDBETWEEN(1,ROWS(tRealMM[Apellido2])))</f>
        <v>1993</v>
      </c>
      <c r="D123" s="8" t="str" cm="1">
        <f t="array" aca="1" ref="D123" ca="1">INDEX(tRealMM[clubFórmula],RANDBETWEEN(1,ROWS(tRealMM[Apellido2])))</f>
        <v>Club Deportivo Oca S.O.S</v>
      </c>
      <c r="E123" s="9">
        <f>tRealMM[[#This Row],[Tiempo1]]</f>
        <v>6.4120370370370369E-2</v>
      </c>
      <c r="F123" s="8" t="str">
        <f>_xlfn.LET(
    _xlpm.k, tRealMM[[#This Row],[Tiempo2]],
    IF(_xlpm.k="", "", _xlpm.k)
  )</f>
        <v/>
      </c>
      <c r="G123" s="8">
        <f>_xlfn.LET(
    _xlpm.k, tRealMM[[#This Row],[Puntos]],
    IF(_xlpm.k="", "", _xlpm.k)
  )</f>
        <v>11</v>
      </c>
      <c r="H12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  <c r="J123" s="15"/>
    </row>
    <row r="124" spans="1:13" x14ac:dyDescent="0.2">
      <c r="A124" s="8">
        <v>121</v>
      </c>
      <c r="B124" s="8" t="str" cm="1">
        <f t="array" aca="1" ref="B12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MENCHEN GONZÁLEZ, LUIS</v>
      </c>
      <c r="C124" s="8" cm="1">
        <f t="array" aca="1" ref="C124" ca="1">INDEX(tRealMM[Año],RANDBETWEEN(1,ROWS(tRealMM[Apellido2])))</f>
        <v>1970</v>
      </c>
      <c r="D124" s="8" t="str" cm="1">
        <f t="array" aca="1" ref="D124" ca="1">INDEX(tRealMM[clubFórmula],RANDBETWEEN(1,ROWS(tRealMM[Apellido2])))</f>
        <v>Alcarreño de Salvamento y Socorrismo</v>
      </c>
      <c r="E124" s="9">
        <f>tRealMM[[#This Row],[Tiempo1]]</f>
        <v>7.1770833333333339E-2</v>
      </c>
      <c r="F124" s="8" t="str">
        <f>_xlfn.LET(
    _xlpm.k, tRealMM[[#This Row],[Tiempo2]],
    IF(_xlpm.k="", "", _xlpm.k)
  )</f>
        <v/>
      </c>
      <c r="G124" s="8">
        <f>_xlfn.LET(
    _xlpm.k, tRealMM[[#This Row],[Puntos]],
    IF(_xlpm.k="", "", _xlpm.k)
  )</f>
        <v>10</v>
      </c>
      <c r="H12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5" spans="1:13" x14ac:dyDescent="0.2">
      <c r="A125" s="8">
        <v>122</v>
      </c>
      <c r="B125" s="8" t="str" cm="1">
        <f t="array" aca="1" ref="B12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LLORENTE CRUZ, ANTONIO</v>
      </c>
      <c r="C125" s="8" cm="1">
        <f t="array" aca="1" ref="C125" ca="1">INDEX(tRealMM[Año],RANDBETWEEN(1,ROWS(tRealMM[Apellido2])))</f>
        <v>1978</v>
      </c>
      <c r="D125" s="8" t="str" cm="1">
        <f t="array" aca="1" ref="D125" ca="1">INDEX(tRealMM[clubFórmula],RANDBETWEEN(1,ROWS(tRealMM[Apellido2])))</f>
        <v>C.D.B. Vallecas S.O.S</v>
      </c>
      <c r="E125" s="9">
        <f>tRealMM[[#This Row],[Tiempo1]]</f>
        <v>7.2673611111111105E-2</v>
      </c>
      <c r="F125" s="8" t="str">
        <f>_xlfn.LET(
    _xlpm.k, tRealMM[[#This Row],[Tiempo2]],
    IF(_xlpm.k="", "", _xlpm.k)
  )</f>
        <v/>
      </c>
      <c r="G125" s="8">
        <f>_xlfn.LET(
    _xlpm.k, tRealMM[[#This Row],[Puntos]],
    IF(_xlpm.k="", "", _xlpm.k)
  )</f>
        <v>8</v>
      </c>
      <c r="H12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6" spans="1:13" x14ac:dyDescent="0.2">
      <c r="A126" s="8">
        <v>123</v>
      </c>
      <c r="B126" s="8" t="str" cm="1">
        <f t="array" aca="1" ref="B12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FARIÑA GONZALEZ, SERGIO</v>
      </c>
      <c r="C126" s="8" cm="1">
        <f t="array" aca="1" ref="C126" ca="1">INDEX(tRealMM[Año],RANDBETWEEN(1,ROWS(tRealMM[Apellido2])))</f>
        <v>1983</v>
      </c>
      <c r="D126" s="8" t="str" cm="1">
        <f t="array" aca="1" ref="D126" ca="1">INDEX(tRealMM[clubFórmula],RANDBETWEEN(1,ROWS(tRealMM[Apellido2])))</f>
        <v>C.D.B. Vallecas S.O.S</v>
      </c>
      <c r="E126" s="9">
        <f>tRealMM[[#This Row],[Tiempo1]]</f>
        <v>7.452546296296296E-2</v>
      </c>
      <c r="F126" s="8" t="str">
        <f>_xlfn.LET(
    _xlpm.k, tRealMM[[#This Row],[Tiempo2]],
    IF(_xlpm.k="", "", _xlpm.k)
  )</f>
        <v/>
      </c>
      <c r="G126" s="8">
        <f>_xlfn.LET(
    _xlpm.k, tRealMM[[#This Row],[Puntos]],
    IF(_xlpm.k="", "", _xlpm.k)
  )</f>
        <v>7</v>
      </c>
      <c r="H12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7" spans="1:13" x14ac:dyDescent="0.2">
      <c r="A127" s="8">
        <v>124</v>
      </c>
      <c r="B127" s="8" t="str" cm="1">
        <f t="array" aca="1" ref="B12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MOLINA ARRANZ, DAVID JUAN</v>
      </c>
      <c r="C127" s="8" cm="1">
        <f t="array" aca="1" ref="C127" ca="1">INDEX(tRealMM[Año],RANDBETWEEN(1,ROWS(tRealMM[Apellido2])))</f>
        <v>1976</v>
      </c>
      <c r="D127" s="8" t="str" cm="1">
        <f t="array" aca="1" ref="D127" ca="1">INDEX(tRealMM[clubFórmula],RANDBETWEEN(1,ROWS(tRealMM[Apellido2])))</f>
        <v>Club Deportivo Oca S.O.S</v>
      </c>
      <c r="E127" s="9">
        <f>tRealMM[[#This Row],[Tiempo1]]</f>
        <v>7.6145833333333329E-2</v>
      </c>
      <c r="F127" s="8" t="str">
        <f>_xlfn.LET(
    _xlpm.k, tRealMM[[#This Row],[Tiempo2]],
    IF(_xlpm.k="", "", _xlpm.k)
  )</f>
        <v/>
      </c>
      <c r="G127" s="8">
        <f>_xlfn.LET(
    _xlpm.k, tRealMM[[#This Row],[Puntos]],
    IF(_xlpm.k="", "", _xlpm.k)
  )</f>
        <v>6</v>
      </c>
      <c r="H12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8" spans="1:13" x14ac:dyDescent="0.2">
      <c r="A128" s="8">
        <v>125</v>
      </c>
      <c r="B128" s="8" t="str" cm="1">
        <f t="array" aca="1" ref="B128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ADAN RICO, DIEGO JULIO</v>
      </c>
      <c r="C128" s="8" cm="1">
        <f t="array" aca="1" ref="C128" ca="1">INDEX(tRealMM[Año],RANDBETWEEN(1,ROWS(tRealMM[Apellido2])))</f>
        <v>1971</v>
      </c>
      <c r="D128" s="8" t="str" cm="1">
        <f t="array" aca="1" ref="D128" ca="1">INDEX(tRealMM[clubFórmula],RANDBETWEEN(1,ROWS(tRealMM[Apellido2])))</f>
        <v>Club Acuático Umia</v>
      </c>
      <c r="E128" s="9">
        <f>tRealMM[[#This Row],[Tiempo1]]</f>
        <v>7.6342592592592587E-2</v>
      </c>
      <c r="F128" s="8" t="str">
        <f>_xlfn.LET(
    _xlpm.k, tRealMM[[#This Row],[Tiempo2]],
    IF(_xlpm.k="", "", _xlpm.k)
  )</f>
        <v/>
      </c>
      <c r="G128" s="8">
        <f>_xlfn.LET(
    _xlpm.k, tRealMM[[#This Row],[Puntos]],
    IF(_xlpm.k="", "", _xlpm.k)
  )</f>
        <v>5</v>
      </c>
      <c r="H128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29" spans="1:12" x14ac:dyDescent="0.2">
      <c r="A129" s="8">
        <v>126</v>
      </c>
      <c r="B129" s="8" t="str" cm="1">
        <f t="array" aca="1" ref="B129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LLORENTE MARTINEZ, AITOR</v>
      </c>
      <c r="C129" s="8" cm="1">
        <f t="array" aca="1" ref="C129" ca="1">INDEX(tRealMM[Año],RANDBETWEEN(1,ROWS(tRealMM[Apellido2])))</f>
        <v>1964</v>
      </c>
      <c r="D129" s="8" t="str" cm="1">
        <f t="array" aca="1" ref="D129" ca="1">INDEX(tRealMM[clubFórmula],RANDBETWEEN(1,ROWS(tRealMM[Apellido2])))</f>
        <v>C.D.B. Vallecas S.O.S</v>
      </c>
      <c r="E129" s="9">
        <f>tRealMM[[#This Row],[Tiempo1]]</f>
        <v>9.8993055555555556E-2</v>
      </c>
      <c r="F129" s="8" t="str">
        <f>_xlfn.LET(
    _xlpm.k, tRealMM[[#This Row],[Tiempo2]],
    IF(_xlpm.k="", "", _xlpm.k)
  )</f>
        <v/>
      </c>
      <c r="G129" s="8" t="str">
        <f>_xlfn.LET(
    _xlpm.k, tRealMM[[#This Row],[Puntos]],
    IF(_xlpm.k="", "", _xlpm.k)
  )</f>
        <v/>
      </c>
      <c r="H129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60-64</v>
      </c>
    </row>
    <row r="130" spans="1:12" x14ac:dyDescent="0.2">
      <c r="A130" s="8">
        <v>127</v>
      </c>
      <c r="B130" s="8" t="str" cm="1">
        <f t="array" aca="1" ref="B130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DIAZ LOPEZ, MIGUEL</v>
      </c>
      <c r="C130" s="8" cm="1">
        <f t="array" aca="1" ref="C130" ca="1">INDEX(tRealMM[Año],RANDBETWEEN(1,ROWS(tRealMM[Apellido2])))</f>
        <v>1967</v>
      </c>
      <c r="D130" s="8" t="str" cm="1">
        <f t="array" aca="1" ref="D130" ca="1">INDEX(tRealMM[clubFórmula],RANDBETWEEN(1,ROWS(tRealMM[Apellido2])))</f>
        <v>Loredo Surf Life Saving</v>
      </c>
      <c r="E130" s="9">
        <f>tRealMM[[#This Row],[Tiempo1]]</f>
        <v>5.7881944444444444E-2</v>
      </c>
      <c r="F130" s="8" t="str">
        <f>_xlfn.LET(
    _xlpm.k, tRealMM[[#This Row],[Tiempo2]],
    IF(_xlpm.k="", "", _xlpm.k)
  )</f>
        <v/>
      </c>
      <c r="G130" s="8">
        <f>_xlfn.LET(
    _xlpm.k, tRealMM[[#This Row],[Puntos]],
    IF(_xlpm.k="", "", _xlpm.k)
  )</f>
        <v>20</v>
      </c>
      <c r="H130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  <c r="I130" s="15"/>
    </row>
    <row r="131" spans="1:12" x14ac:dyDescent="0.2">
      <c r="A131" s="8">
        <v>128</v>
      </c>
      <c r="B131" s="8" t="str" cm="1">
        <f t="array" aca="1" ref="B131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SIMÓN ARDERIUS, MANUEL</v>
      </c>
      <c r="C131" s="8" cm="1">
        <f t="array" aca="1" ref="C131" ca="1">INDEX(tRealMM[Año],RANDBETWEEN(1,ROWS(tRealMM[Apellido2])))</f>
        <v>1969</v>
      </c>
      <c r="D131" s="8" t="str" cm="1">
        <f t="array" aca="1" ref="D131" ca="1">INDEX(tRealMM[clubFórmula],RANDBETWEEN(1,ROWS(tRealMM[Apellido2])))</f>
        <v>Natación RACE</v>
      </c>
      <c r="E131" s="9">
        <f>tRealMM[[#This Row],[Tiempo1]]</f>
        <v>6.145833333333333E-2</v>
      </c>
      <c r="F131" s="8" t="str">
        <f>_xlfn.LET(
    _xlpm.k, tRealMM[[#This Row],[Tiempo2]],
    IF(_xlpm.k="", "", _xlpm.k)
  )</f>
        <v/>
      </c>
      <c r="G131" s="8">
        <f>_xlfn.LET(
    _xlpm.k, tRealMM[[#This Row],[Puntos]],
    IF(_xlpm.k="", "", _xlpm.k)
  )</f>
        <v>18</v>
      </c>
      <c r="H131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65-69</v>
      </c>
      <c r="J131" s="15"/>
    </row>
    <row r="132" spans="1:12" x14ac:dyDescent="0.2">
      <c r="A132" s="8">
        <v>129</v>
      </c>
      <c r="B132" s="8" t="str" cm="1">
        <f t="array" aca="1" ref="B132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PISO TERUEL, CARLOS</v>
      </c>
      <c r="C132" s="8" cm="1">
        <f t="array" aca="1" ref="C132" ca="1">INDEX(tRealMM[Año],RANDBETWEEN(1,ROWS(tRealMM[Apellido2])))</f>
        <v>1970</v>
      </c>
      <c r="D132" s="8" t="str" cm="1">
        <f t="array" aca="1" ref="D132" ca="1">INDEX(tRealMM[clubFórmula],RANDBETWEEN(1,ROWS(tRealMM[Apellido2])))</f>
        <v>Loredo Surf Life Saving</v>
      </c>
      <c r="E132" s="9">
        <f>tRealMM[[#This Row],[Tiempo1]]</f>
        <v>7.2939814814814818E-2</v>
      </c>
      <c r="F132" s="8" t="str">
        <f>_xlfn.LET(
    _xlpm.k, tRealMM[[#This Row],[Tiempo2]],
    IF(_xlpm.k="", "", _xlpm.k)
  )</f>
        <v/>
      </c>
      <c r="G132" s="8">
        <f>_xlfn.LET(
    _xlpm.k, tRealMM[[#This Row],[Puntos]],
    IF(_xlpm.k="", "", _xlpm.k)
  )</f>
        <v>16</v>
      </c>
      <c r="H132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65-69</v>
      </c>
    </row>
    <row r="133" spans="1:12" x14ac:dyDescent="0.2">
      <c r="A133" s="8">
        <v>130</v>
      </c>
      <c r="B133" s="8" t="str" cm="1">
        <f t="array" aca="1" ref="B133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RODRIGUEZ PROVEDO, NORBERTO</v>
      </c>
      <c r="C133" s="8" cm="1">
        <f t="array" aca="1" ref="C133" ca="1">INDEX(tRealMM[Año],RANDBETWEEN(1,ROWS(tRealMM[Apellido2])))</f>
        <v>1963</v>
      </c>
      <c r="D133" s="8" t="str" cm="1">
        <f t="array" aca="1" ref="D133" ca="1">INDEX(tRealMM[clubFórmula],RANDBETWEEN(1,ROWS(tRealMM[Apellido2])))</f>
        <v>C.D.B. Vallecas S.O.S</v>
      </c>
      <c r="E133" s="9">
        <f>tRealMM[[#This Row],[Tiempo1]]</f>
        <v>7.5740740740740747E-2</v>
      </c>
      <c r="F133" s="8" t="str">
        <f>_xlfn.LET(
    _xlpm.k, tRealMM[[#This Row],[Tiempo2]],
    IF(_xlpm.k="", "", _xlpm.k)
  )</f>
        <v/>
      </c>
      <c r="G133" s="8">
        <f>_xlfn.LET(
    _xlpm.k, tRealMM[[#This Row],[Puntos]],
    IF(_xlpm.k="", "", _xlpm.k)
  )</f>
        <v>14</v>
      </c>
      <c r="H133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34" spans="1:12" x14ac:dyDescent="0.2">
      <c r="A134" s="8">
        <v>131</v>
      </c>
      <c r="B134" s="8" t="str" cm="1">
        <f t="array" aca="1" ref="B134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RAMON MEDINA, JOSE LUIS</v>
      </c>
      <c r="C134" s="8" cm="1">
        <f t="array" aca="1" ref="C134" ca="1">INDEX(tRealMM[Año],RANDBETWEEN(1,ROWS(tRealMM[Apellido2])))</f>
        <v>1972</v>
      </c>
      <c r="D134" s="8" t="str" cm="1">
        <f t="array" aca="1" ref="D134" ca="1">INDEX(tRealMM[clubFórmula],RANDBETWEEN(1,ROWS(tRealMM[Apellido2])))</f>
        <v>Loredo Surf Life Saving</v>
      </c>
      <c r="E134" s="9">
        <f>tRealMM[[#This Row],[Tiempo1]]</f>
        <v>8.7407407407407406E-2</v>
      </c>
      <c r="F134" s="8" t="str">
        <f>_xlfn.LET(
    _xlpm.k, tRealMM[[#This Row],[Tiempo2]],
    IF(_xlpm.k="", "", _xlpm.k)
  )</f>
        <v/>
      </c>
      <c r="G134" s="8">
        <f>_xlfn.LET(
    _xlpm.k, tRealMM[[#This Row],[Puntos]],
    IF(_xlpm.k="", "", _xlpm.k)
  )</f>
        <v>13</v>
      </c>
      <c r="H134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65-69</v>
      </c>
      <c r="J134" s="15"/>
    </row>
    <row r="135" spans="1:12" x14ac:dyDescent="0.2">
      <c r="A135" s="8">
        <v>132</v>
      </c>
      <c r="B135" s="8" t="str" cm="1">
        <f t="array" aca="1" ref="B135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RECUERO AGUDO, JOSE VICENTE</v>
      </c>
      <c r="C135" s="8" cm="1">
        <f t="array" aca="1" ref="C135" ca="1">INDEX(tRealMM[Año],RANDBETWEEN(1,ROWS(tRealMM[Apellido2])))</f>
        <v>1978</v>
      </c>
      <c r="D135" s="8" t="str" cm="1">
        <f t="array" aca="1" ref="D135" ca="1">INDEX(tRealMM[clubFórmula],RANDBETWEEN(1,ROWS(tRealMM[Apellido2])))</f>
        <v>Natación RACE</v>
      </c>
      <c r="E135" s="9">
        <f>tRealMM[[#This Row],[Tiempo1]]</f>
        <v>9.0775462962962961E-2</v>
      </c>
      <c r="F135" s="8" t="str">
        <f>_xlfn.LET(
    _xlpm.k, tRealMM[[#This Row],[Tiempo2]],
    IF(_xlpm.k="", "", _xlpm.k)
  )</f>
        <v/>
      </c>
      <c r="G135" s="8">
        <f>_xlfn.LET(
    _xlpm.k, tRealMM[[#This Row],[Puntos]],
    IF(_xlpm.k="", "", _xlpm.k)
  )</f>
        <v>12</v>
      </c>
      <c r="H135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65-69</v>
      </c>
    </row>
    <row r="136" spans="1:12" x14ac:dyDescent="0.2">
      <c r="A136" s="8">
        <v>133</v>
      </c>
      <c r="B136" s="8" t="str" cm="1">
        <f t="array" aca="1" ref="B136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CORDERO VALLEJO, RAUL</v>
      </c>
      <c r="C136" s="8" cm="1">
        <f t="array" aca="1" ref="C136" ca="1">INDEX(tRealMM[Año],RANDBETWEEN(1,ROWS(tRealMM[Apellido2])))</f>
        <v>1978</v>
      </c>
      <c r="D136" s="8" t="str" cm="1">
        <f t="array" aca="1" ref="D136" ca="1">INDEX(tRealMM[clubFórmula],RANDBETWEEN(1,ROWS(tRealMM[Apellido2])))</f>
        <v>Club Natación Martiánez Coral Hotels</v>
      </c>
      <c r="E136" s="9">
        <f>tRealMM[[#This Row],[Tiempo1]]</f>
        <v>5.903935185185185E-2</v>
      </c>
      <c r="F136" s="8" t="str">
        <f>_xlfn.LET(
    _xlpm.k, tRealMM[[#This Row],[Tiempo2]],
    IF(_xlpm.k="", "", _xlpm.k)
  )</f>
        <v/>
      </c>
      <c r="G136" s="8">
        <f>_xlfn.LET(
    _xlpm.k, tRealMM[[#This Row],[Puntos]],
    IF(_xlpm.k="", "", _xlpm.k)
  )</f>
        <v>20</v>
      </c>
      <c r="H136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37" spans="1:12" x14ac:dyDescent="0.2">
      <c r="A137" s="8">
        <v>134</v>
      </c>
      <c r="B137" s="8" t="str" cm="1">
        <f t="array" aca="1" ref="B137" ca="1">_xlfn.CONCAT(_xlfn.LET(
    _xlpm.k, RANDBETWEEN(1, ROWS(tRealMM[Apellido2])),
    _xlpm.n, INDEX(tRealMM[Apellido1], _xlpm.k),
    IF(_xlpm.n="", "", _xlpm.n)
  )," ",
  _xlfn.LET(
    _xlpm.k, RANDBETWEEN(1, ROWS(tRealMM[Apellido2])),
    _xlpm.n, INDEX(tRealMM[Apellido2], _xlpm.k),
    IF(_xlpm.n="", "", _xlpm.n)
  ),", ",
  _xlfn.LET(
    _xlpm.k, RANDBETWEEN(1, ROWS(tRealMM[Apellido2])),
    _xlpm.n, INDEX(tRealMM[Nombre], _xlpm.k),
    IF(_xlpm.n="", "", _xlpm.n)
  )
)</f>
        <v>MARTÍNEZ MINGARRO, ANTONIO</v>
      </c>
      <c r="C137" s="8" cm="1">
        <f t="array" aca="1" ref="C137" ca="1">INDEX(tRealMM[Año],RANDBETWEEN(1,ROWS(tRealMM[Apellido2])))</f>
        <v>1983</v>
      </c>
      <c r="D137" s="8" t="str" cm="1">
        <f t="array" aca="1" ref="D137" ca="1">INDEX(tRealMM[clubFórmula],RANDBETWEEN(1,ROWS(tRealMM[Apellido2])))</f>
        <v>C.D.B. Vallecas S.O.S</v>
      </c>
      <c r="E137" s="9">
        <f>tRealMM[[#This Row],[Tiempo1]]</f>
        <v>6.7476851851851857E-2</v>
      </c>
      <c r="F137" s="8" t="str">
        <f>_xlfn.LET(
    _xlpm.k, tRealMM[[#This Row],[Tiempo2]],
    IF(_xlpm.k="", "", _xlpm.k)
  )</f>
        <v/>
      </c>
      <c r="G137" s="8">
        <f>_xlfn.LET(
    _xlpm.k, tRealMM[[#This Row],[Puntos]],
    IF(_xlpm.k="", "", _xlpm.k)
  )</f>
        <v>18</v>
      </c>
      <c r="H137" s="10" t="str">
        <f ca="1">_xlfn.LET(
_xlpm.anioNac,tRealMM[[#This Row],[Año]],
_xlpm.edad,YEAR(TODAY())-_xlpm.anioNac,
IF(OR(_xlpm.edad=11,_xlpm.edad=12),"Infantil",
IF(OR(_xlpm.edad=13,_xlpm.edad=14),"Cadete",
IF(OR(_xlpm.edad=15,_xlpm.edad=16),"Juvenil",
IF(OR(_xlpm.edad=17,_xlpm.edad=18),"Junior",
IF(AND(_xlpm.edad&gt;=19,_xlpm.edad&lt;=29),"Absoluta",
IF(_xlpm.edad&gt;=70,"Máster +70",
IF(_xlpm.edad&gt;=30,"Máster "&amp;(FLOOR((_xlpm.edad-30)/5,1)*5+30)&amp;"-"&amp;(FLOOR((_xlpm.edad-30)/5,1)*5+34),
""
))))))))</f>
        <v>Máster +70</v>
      </c>
    </row>
    <row r="138" spans="1:12" x14ac:dyDescent="0.2">
      <c r="C138" s="15"/>
      <c r="H138" s="15"/>
    </row>
    <row r="140" spans="1:12" x14ac:dyDescent="0.2">
      <c r="C140" s="15"/>
      <c r="H140" s="15"/>
    </row>
    <row r="142" spans="1:12" x14ac:dyDescent="0.2">
      <c r="C142" s="15"/>
      <c r="I142" s="15"/>
    </row>
    <row r="143" spans="1:12" x14ac:dyDescent="0.2">
      <c r="I143" s="15"/>
    </row>
    <row r="144" spans="1:12" x14ac:dyDescent="0.2">
      <c r="E144" s="15"/>
      <c r="L144" s="15"/>
    </row>
    <row r="145" spans="1:11" x14ac:dyDescent="0.2">
      <c r="B145" s="15"/>
      <c r="H145" s="15"/>
    </row>
    <row r="146" spans="1:11" x14ac:dyDescent="0.2">
      <c r="C146" s="15"/>
      <c r="J146" s="15"/>
    </row>
    <row r="147" spans="1:11" x14ac:dyDescent="0.2">
      <c r="B147" s="15"/>
      <c r="F147" s="15"/>
      <c r="H147" s="15"/>
    </row>
    <row r="148" spans="1:11" x14ac:dyDescent="0.2">
      <c r="G148" s="15"/>
    </row>
    <row r="149" spans="1:11" x14ac:dyDescent="0.2">
      <c r="C149" s="15"/>
      <c r="J149" s="15"/>
    </row>
    <row r="150" spans="1:11" x14ac:dyDescent="0.2">
      <c r="D150" s="15"/>
      <c r="J150" s="15"/>
    </row>
    <row r="151" spans="1:11" x14ac:dyDescent="0.2">
      <c r="B151" s="15"/>
      <c r="H151" s="15"/>
    </row>
    <row r="152" spans="1:11" x14ac:dyDescent="0.2">
      <c r="A152" s="15"/>
    </row>
    <row r="153" spans="1:11" x14ac:dyDescent="0.2">
      <c r="E153" s="15"/>
    </row>
    <row r="156" spans="1:11" x14ac:dyDescent="0.2">
      <c r="C156" s="15"/>
    </row>
    <row r="157" spans="1:11" x14ac:dyDescent="0.2">
      <c r="I157" s="15"/>
    </row>
    <row r="158" spans="1:11" x14ac:dyDescent="0.2">
      <c r="I158" s="15"/>
    </row>
    <row r="159" spans="1:11" x14ac:dyDescent="0.2">
      <c r="H159" s="15"/>
      <c r="K159" s="15"/>
    </row>
    <row r="160" spans="1:11" x14ac:dyDescent="0.2">
      <c r="D160" s="15"/>
    </row>
    <row r="161" spans="2:12" x14ac:dyDescent="0.2">
      <c r="C161" s="15"/>
      <c r="I161" s="15"/>
    </row>
    <row r="162" spans="2:12" x14ac:dyDescent="0.2">
      <c r="D162" s="15"/>
      <c r="I162" s="15"/>
    </row>
    <row r="163" spans="2:12" x14ac:dyDescent="0.2">
      <c r="D163" s="15"/>
      <c r="K163" s="15"/>
    </row>
    <row r="164" spans="2:12" x14ac:dyDescent="0.2">
      <c r="C164" s="15"/>
      <c r="J164" s="15"/>
    </row>
    <row r="165" spans="2:12" x14ac:dyDescent="0.2">
      <c r="L165" s="15"/>
    </row>
    <row r="166" spans="2:12" x14ac:dyDescent="0.2">
      <c r="J166" s="15"/>
    </row>
    <row r="167" spans="2:12" x14ac:dyDescent="0.2">
      <c r="I167" s="15"/>
    </row>
    <row r="168" spans="2:12" x14ac:dyDescent="0.2">
      <c r="D168" s="15"/>
      <c r="L168" s="15"/>
    </row>
    <row r="169" spans="2:12" x14ac:dyDescent="0.2">
      <c r="L169" s="15"/>
    </row>
    <row r="170" spans="2:12" x14ac:dyDescent="0.2">
      <c r="C170" s="15"/>
    </row>
    <row r="171" spans="2:12" x14ac:dyDescent="0.2">
      <c r="C171" s="15"/>
    </row>
    <row r="172" spans="2:12" x14ac:dyDescent="0.2">
      <c r="J172" s="15"/>
    </row>
    <row r="173" spans="2:12" x14ac:dyDescent="0.2">
      <c r="J173" s="15"/>
    </row>
    <row r="174" spans="2:12" x14ac:dyDescent="0.2">
      <c r="B174" s="15"/>
    </row>
    <row r="175" spans="2:12" x14ac:dyDescent="0.2">
      <c r="B175" s="15"/>
    </row>
    <row r="176" spans="2:12" x14ac:dyDescent="0.2">
      <c r="C176" s="15"/>
    </row>
    <row r="177" spans="1:11" x14ac:dyDescent="0.2">
      <c r="I177" s="15"/>
    </row>
    <row r="178" spans="1:11" x14ac:dyDescent="0.2">
      <c r="H178" s="15"/>
    </row>
    <row r="183" spans="1:11" x14ac:dyDescent="0.2">
      <c r="H183" s="15"/>
    </row>
    <row r="184" spans="1:11" x14ac:dyDescent="0.2">
      <c r="I184" s="15"/>
    </row>
    <row r="185" spans="1:11" x14ac:dyDescent="0.2">
      <c r="A185" s="15"/>
      <c r="G185" s="15"/>
    </row>
    <row r="186" spans="1:11" x14ac:dyDescent="0.2">
      <c r="H186" s="15"/>
    </row>
    <row r="187" spans="1:11" x14ac:dyDescent="0.2">
      <c r="C187" s="15"/>
    </row>
    <row r="189" spans="1:11" x14ac:dyDescent="0.2">
      <c r="H189" s="15"/>
    </row>
    <row r="190" spans="1:11" x14ac:dyDescent="0.2">
      <c r="J190" s="15"/>
    </row>
    <row r="191" spans="1:11" x14ac:dyDescent="0.2">
      <c r="D191" s="15"/>
      <c r="I191" s="15"/>
    </row>
    <row r="192" spans="1:11" x14ac:dyDescent="0.2">
      <c r="F192" s="15"/>
      <c r="K192" s="15"/>
    </row>
    <row r="193" spans="2:11" x14ac:dyDescent="0.2">
      <c r="C193" s="15"/>
      <c r="J193" s="15"/>
    </row>
    <row r="194" spans="2:11" x14ac:dyDescent="0.2">
      <c r="C194" s="15"/>
      <c r="I194" s="15"/>
    </row>
    <row r="196" spans="2:11" x14ac:dyDescent="0.2">
      <c r="D196" s="15"/>
      <c r="I196" s="15"/>
    </row>
    <row r="197" spans="2:11" x14ac:dyDescent="0.2">
      <c r="B197" s="15"/>
    </row>
    <row r="198" spans="2:11" x14ac:dyDescent="0.2">
      <c r="G198" s="15"/>
    </row>
    <row r="199" spans="2:11" x14ac:dyDescent="0.2">
      <c r="H199" s="15"/>
    </row>
    <row r="200" spans="2:11" x14ac:dyDescent="0.2">
      <c r="C200" s="15"/>
    </row>
    <row r="201" spans="2:11" x14ac:dyDescent="0.2">
      <c r="H201" s="15"/>
    </row>
    <row r="202" spans="2:11" x14ac:dyDescent="0.2">
      <c r="E202" s="15"/>
    </row>
    <row r="203" spans="2:11" x14ac:dyDescent="0.2">
      <c r="D203" s="15"/>
      <c r="K203" s="15"/>
    </row>
    <row r="204" spans="2:11" x14ac:dyDescent="0.2">
      <c r="D204" s="15"/>
    </row>
    <row r="206" spans="2:11" x14ac:dyDescent="0.2">
      <c r="J206" s="15"/>
    </row>
    <row r="207" spans="2:11" x14ac:dyDescent="0.2">
      <c r="B207" s="15"/>
      <c r="G207" s="15"/>
    </row>
    <row r="208" spans="2:11" x14ac:dyDescent="0.2">
      <c r="B208" s="15"/>
    </row>
    <row r="212" spans="2:9" x14ac:dyDescent="0.2">
      <c r="B212" s="15"/>
    </row>
    <row r="213" spans="2:9" x14ac:dyDescent="0.2">
      <c r="D213" s="15"/>
    </row>
    <row r="215" spans="2:9" x14ac:dyDescent="0.2">
      <c r="C215" s="15"/>
    </row>
    <row r="216" spans="2:9" x14ac:dyDescent="0.2">
      <c r="D216" s="15"/>
    </row>
    <row r="218" spans="2:9" x14ac:dyDescent="0.2">
      <c r="E218" s="15"/>
    </row>
    <row r="220" spans="2:9" x14ac:dyDescent="0.2">
      <c r="I220" s="1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21DD-83F9-4C74-84A1-3133CD689643}">
  <dimension ref="A1:BU137"/>
  <sheetViews>
    <sheetView zoomScale="50" zoomScaleNormal="50" workbookViewId="0">
      <selection sqref="A1:XFD1048576"/>
    </sheetView>
  </sheetViews>
  <sheetFormatPr defaultColWidth="8.7109375" defaultRowHeight="24" x14ac:dyDescent="0.6"/>
  <cols>
    <col min="1" max="16384" width="8.7109375" style="2"/>
  </cols>
  <sheetData>
    <row r="1" spans="1:73" ht="42" x14ac:dyDescent="1">
      <c r="A1" s="1" t="s">
        <v>912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911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910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913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3" spans="1:73" x14ac:dyDescent="0.6">
      <c r="A3" s="2" t="s">
        <v>282</v>
      </c>
      <c r="B3" s="2" t="s">
        <v>283</v>
      </c>
      <c r="C3" s="2" t="s">
        <v>284</v>
      </c>
      <c r="D3" s="2" t="s">
        <v>285</v>
      </c>
      <c r="E3" s="2" t="s">
        <v>286</v>
      </c>
      <c r="F3" s="2" t="s">
        <v>2</v>
      </c>
      <c r="G3" s="2" t="s">
        <v>296</v>
      </c>
      <c r="H3" s="2" t="s">
        <v>297</v>
      </c>
      <c r="I3" s="2" t="s">
        <v>298</v>
      </c>
      <c r="J3" s="2" t="s">
        <v>299</v>
      </c>
      <c r="K3" s="2" t="s">
        <v>300</v>
      </c>
      <c r="L3" s="2" t="s">
        <v>301</v>
      </c>
      <c r="M3" s="2" t="s">
        <v>304</v>
      </c>
      <c r="N3" s="2" t="s">
        <v>287</v>
      </c>
      <c r="O3" s="2" t="s">
        <v>288</v>
      </c>
      <c r="P3" s="2" t="s">
        <v>289</v>
      </c>
      <c r="R3" s="2" t="s">
        <v>282</v>
      </c>
      <c r="S3" s="2" t="s">
        <v>283</v>
      </c>
      <c r="T3" s="2" t="s">
        <v>284</v>
      </c>
      <c r="U3" s="2" t="s">
        <v>285</v>
      </c>
      <c r="V3" s="2" t="s">
        <v>286</v>
      </c>
      <c r="W3" s="2" t="s">
        <v>2</v>
      </c>
      <c r="X3" s="2" t="s">
        <v>296</v>
      </c>
      <c r="Y3" s="2" t="s">
        <v>297</v>
      </c>
      <c r="Z3" s="2" t="s">
        <v>298</v>
      </c>
      <c r="AA3" s="2" t="s">
        <v>299</v>
      </c>
      <c r="AB3" s="2" t="s">
        <v>300</v>
      </c>
      <c r="AC3" s="2" t="s">
        <v>301</v>
      </c>
      <c r="AD3" s="2" t="s">
        <v>302</v>
      </c>
      <c r="AE3" s="2" t="s">
        <v>303</v>
      </c>
      <c r="AF3" s="2" t="s">
        <v>304</v>
      </c>
      <c r="AG3" s="2" t="s">
        <v>287</v>
      </c>
      <c r="AH3" s="2" t="s">
        <v>288</v>
      </c>
      <c r="AI3" s="2" t="s">
        <v>289</v>
      </c>
      <c r="AK3" s="2" t="s">
        <v>282</v>
      </c>
      <c r="AL3" s="2" t="s">
        <v>283</v>
      </c>
      <c r="AM3" s="2" t="s">
        <v>284</v>
      </c>
      <c r="AN3" s="2" t="s">
        <v>285</v>
      </c>
      <c r="AO3" s="2" t="s">
        <v>286</v>
      </c>
      <c r="AP3" s="2" t="s">
        <v>2</v>
      </c>
      <c r="AQ3" s="2" t="s">
        <v>296</v>
      </c>
      <c r="AR3" s="2" t="s">
        <v>297</v>
      </c>
      <c r="AS3" s="2" t="s">
        <v>298</v>
      </c>
      <c r="AT3" s="2" t="s">
        <v>299</v>
      </c>
      <c r="AU3" s="2" t="s">
        <v>300</v>
      </c>
      <c r="AV3" s="2" t="s">
        <v>301</v>
      </c>
      <c r="AW3" s="2" t="s">
        <v>302</v>
      </c>
      <c r="AX3" s="2" t="s">
        <v>303</v>
      </c>
      <c r="AY3" s="2" t="s">
        <v>304</v>
      </c>
      <c r="AZ3" s="2" t="s">
        <v>287</v>
      </c>
      <c r="BA3" s="2" t="s">
        <v>288</v>
      </c>
      <c r="BB3" s="2" t="s">
        <v>289</v>
      </c>
      <c r="BD3" s="2" t="s">
        <v>282</v>
      </c>
      <c r="BE3" s="2" t="s">
        <v>283</v>
      </c>
      <c r="BF3" s="2" t="s">
        <v>284</v>
      </c>
      <c r="BG3" s="2" t="s">
        <v>285</v>
      </c>
      <c r="BH3" s="2" t="s">
        <v>286</v>
      </c>
      <c r="BI3" s="2" t="s">
        <v>2</v>
      </c>
      <c r="BJ3" s="2" t="s">
        <v>296</v>
      </c>
      <c r="BK3" s="2" t="s">
        <v>297</v>
      </c>
      <c r="BL3" s="2" t="s">
        <v>298</v>
      </c>
      <c r="BM3" s="2" t="s">
        <v>299</v>
      </c>
      <c r="BN3" s="2" t="s">
        <v>300</v>
      </c>
      <c r="BO3" s="2" t="s">
        <v>301</v>
      </c>
      <c r="BP3" s="2" t="s">
        <v>302</v>
      </c>
      <c r="BQ3" s="2" t="s">
        <v>303</v>
      </c>
      <c r="BR3" s="2" t="s">
        <v>304</v>
      </c>
      <c r="BS3" s="2" t="s">
        <v>287</v>
      </c>
      <c r="BT3" s="2" t="s">
        <v>288</v>
      </c>
      <c r="BU3" s="2" t="s">
        <v>289</v>
      </c>
    </row>
    <row r="4" spans="1:73" x14ac:dyDescent="0.6">
      <c r="A4" s="2">
        <v>1</v>
      </c>
      <c r="B4" s="2" t="s">
        <v>0</v>
      </c>
      <c r="D4" s="2" t="s">
        <v>1</v>
      </c>
      <c r="E4" s="2">
        <v>2005</v>
      </c>
      <c r="F4" s="2" t="s">
        <v>2</v>
      </c>
      <c r="G4" s="2" t="s">
        <v>3</v>
      </c>
      <c r="H4" s="2" t="s">
        <v>4</v>
      </c>
      <c r="I4" s="2" t="s">
        <v>5</v>
      </c>
      <c r="M4" s="2" t="str">
        <f>TRIM(_xlfn.CONCAT(F4," ",G4," ",H4," ",I4," ",J4," ",K4," ",L4))</f>
        <v>Club Deportivo Natación Aldaia</v>
      </c>
      <c r="N4" s="3">
        <v>9.3981481481481485E-2</v>
      </c>
      <c r="O4" s="3">
        <v>9.3032407407407411E-2</v>
      </c>
      <c r="P4" s="2">
        <v>20</v>
      </c>
      <c r="R4" s="2">
        <v>1</v>
      </c>
      <c r="S4" s="2" t="s">
        <v>306</v>
      </c>
      <c r="T4" s="2" t="s">
        <v>307</v>
      </c>
      <c r="U4" s="2" t="s">
        <v>308</v>
      </c>
      <c r="V4" s="2">
        <v>2003</v>
      </c>
      <c r="W4" s="2" t="s">
        <v>2</v>
      </c>
      <c r="X4" s="2" t="s">
        <v>3</v>
      </c>
      <c r="Y4" s="2" t="s">
        <v>4</v>
      </c>
      <c r="Z4" s="2" t="s">
        <v>5</v>
      </c>
      <c r="AF4" s="2" t="str">
        <f>TRIM(_xlfn.CONCAT(W4," ",X4," ",Y4," ",Z4," ",AA4," ",AB4," ",AC4," ",AD4," ",AE4))</f>
        <v>Club Deportivo Natación Aldaia</v>
      </c>
      <c r="AG4" s="3">
        <v>8.4398148148148153E-2</v>
      </c>
      <c r="AH4" s="3">
        <v>8.2442129629629629E-2</v>
      </c>
      <c r="AI4" s="2">
        <v>20</v>
      </c>
      <c r="AK4" s="2">
        <v>2</v>
      </c>
      <c r="AL4" s="2" t="s">
        <v>309</v>
      </c>
      <c r="AM4" s="2" t="s">
        <v>560</v>
      </c>
      <c r="AN4" s="2" t="s">
        <v>561</v>
      </c>
      <c r="AO4" s="2">
        <v>1995</v>
      </c>
      <c r="AP4" s="2" t="s">
        <v>2</v>
      </c>
      <c r="AQ4" s="2" t="s">
        <v>562</v>
      </c>
      <c r="AR4" s="2" t="s">
        <v>563</v>
      </c>
      <c r="AS4" s="2" t="s">
        <v>564</v>
      </c>
      <c r="AY4" s="2" t="str">
        <f>TRIM(_xlfn.CONCAT(AP4," ",AQ4," ",AR4," ",AS4," ",AT4," ",AU4," ",AV4," ",AW4," ",AX4))</f>
        <v>Club Actividades Acuáticas Calatayud</v>
      </c>
      <c r="AZ4" s="3">
        <v>0.11031249999999999</v>
      </c>
      <c r="BA4" s="3"/>
      <c r="BB4" s="2">
        <v>20</v>
      </c>
      <c r="BD4" s="2">
        <v>1</v>
      </c>
      <c r="BE4" s="2" t="s">
        <v>712</v>
      </c>
      <c r="BF4" s="2" t="s">
        <v>713</v>
      </c>
      <c r="BG4" s="2" t="s">
        <v>714</v>
      </c>
      <c r="BH4" s="2">
        <v>1995</v>
      </c>
      <c r="BI4" s="2" t="s">
        <v>466</v>
      </c>
      <c r="BJ4" s="2" t="s">
        <v>467</v>
      </c>
      <c r="BK4" s="2" t="s">
        <v>34</v>
      </c>
      <c r="BR4" s="2" t="str">
        <f>TRIM(_xlfn.CONCAT(BI4," ",BJ4," ",BK4," ",BL4," ",BM4," ",BN4," ",BO4," ",BP4," ",BQ4))</f>
        <v>C.D.B. Vallecas S.O.S</v>
      </c>
      <c r="BS4" s="3">
        <v>9.0335648148148151E-2</v>
      </c>
      <c r="BT4" s="3"/>
      <c r="BU4" s="2">
        <v>20</v>
      </c>
    </row>
    <row r="5" spans="1:73" x14ac:dyDescent="0.6">
      <c r="A5" s="2">
        <v>2</v>
      </c>
      <c r="B5" s="2" t="s">
        <v>6</v>
      </c>
      <c r="C5" s="2" t="s">
        <v>7</v>
      </c>
      <c r="D5" s="2" t="s">
        <v>8</v>
      </c>
      <c r="E5" s="2">
        <v>2000</v>
      </c>
      <c r="F5" s="2" t="s">
        <v>2</v>
      </c>
      <c r="G5" s="2" t="s">
        <v>9</v>
      </c>
      <c r="H5" s="2" t="s">
        <v>10</v>
      </c>
      <c r="I5" s="2" t="s">
        <v>11</v>
      </c>
      <c r="J5" s="2" t="s">
        <v>12</v>
      </c>
      <c r="M5" s="2" t="str">
        <f>TRIM(_xlfn.CONCAT(F5," ",G5," ",H5," ",I5," ",J5," ",K5," ",L5))</f>
        <v>Club Salvamento Arteixo - SALVAR</v>
      </c>
      <c r="N5" s="3">
        <v>9.4618055555555552E-2</v>
      </c>
      <c r="O5" s="3">
        <v>9.3356481481481485E-2</v>
      </c>
      <c r="P5" s="2">
        <v>18</v>
      </c>
      <c r="R5" s="2">
        <v>2</v>
      </c>
      <c r="S5" s="2" t="s">
        <v>309</v>
      </c>
      <c r="T5" s="2" t="s">
        <v>310</v>
      </c>
      <c r="U5" s="2" t="s">
        <v>311</v>
      </c>
      <c r="V5" s="2">
        <v>2003</v>
      </c>
      <c r="W5" s="2" t="s">
        <v>2</v>
      </c>
      <c r="X5" s="2" t="s">
        <v>4</v>
      </c>
      <c r="Y5" s="2" t="s">
        <v>312</v>
      </c>
      <c r="AF5" s="2" t="str">
        <f>TRIM(_xlfn.CONCAT(W5," ",X5," ",Y5," ",Z5," ",AA5," ",AB5," ",AC5," ",AD5," ",AE5))</f>
        <v>Club Natación Camargo</v>
      </c>
      <c r="AG5" s="3">
        <v>8.6076388888888883E-2</v>
      </c>
      <c r="AH5" s="3">
        <v>8.3784722222222219E-2</v>
      </c>
      <c r="AI5" s="2">
        <v>18</v>
      </c>
      <c r="AK5" s="2">
        <v>3</v>
      </c>
      <c r="AL5" s="2" t="s">
        <v>313</v>
      </c>
      <c r="AM5" s="2" t="s">
        <v>565</v>
      </c>
      <c r="AN5" s="2" t="s">
        <v>566</v>
      </c>
      <c r="AO5" s="2">
        <v>1993</v>
      </c>
      <c r="AP5" s="2" t="s">
        <v>567</v>
      </c>
      <c r="AQ5" s="2" t="s">
        <v>9</v>
      </c>
      <c r="AR5" s="2" t="s">
        <v>568</v>
      </c>
      <c r="AY5" s="2" t="str">
        <f>TRIM(_xlfn.CONCAT(AP5," ",AQ5," ",AR5," ",AS5," ",AT5," ",AU5," ",AV5," ",AW5," ",AX5))</f>
        <v>Escuela Salvamento Almendralejo</v>
      </c>
      <c r="AZ5" s="3">
        <v>0.11270833333333333</v>
      </c>
      <c r="BA5" s="3"/>
      <c r="BB5" s="2">
        <v>18</v>
      </c>
      <c r="BD5" s="2">
        <v>2</v>
      </c>
      <c r="BE5" s="2" t="s">
        <v>715</v>
      </c>
      <c r="BF5" s="2" t="s">
        <v>716</v>
      </c>
      <c r="BG5" s="2" t="s">
        <v>332</v>
      </c>
      <c r="BH5" s="2">
        <v>1995</v>
      </c>
      <c r="BI5" s="2" t="s">
        <v>2</v>
      </c>
      <c r="BJ5" s="2" t="s">
        <v>3</v>
      </c>
      <c r="BK5" s="2" t="s">
        <v>535</v>
      </c>
      <c r="BL5" s="2" t="s">
        <v>63</v>
      </c>
      <c r="BM5" s="2" t="s">
        <v>536</v>
      </c>
      <c r="BR5" s="2" t="str">
        <f>TRIM(_xlfn.CONCAT(BI5," ",BJ5," ",BK5," ",BL5," ",BM5," ",BN5," ",BO5," ",BP5," ",BQ5))</f>
        <v>Club Deportivo Sirenas de Catarroja</v>
      </c>
      <c r="BS5" s="3">
        <v>9.5370370370370369E-2</v>
      </c>
      <c r="BT5" s="3"/>
      <c r="BU5" s="2">
        <v>18</v>
      </c>
    </row>
    <row r="6" spans="1:73" x14ac:dyDescent="0.6">
      <c r="A6" s="2">
        <v>3</v>
      </c>
      <c r="B6" s="2" t="s">
        <v>13</v>
      </c>
      <c r="C6" s="2" t="s">
        <v>14</v>
      </c>
      <c r="D6" s="2" t="s">
        <v>15</v>
      </c>
      <c r="E6" s="2">
        <v>2004</v>
      </c>
      <c r="F6" s="2" t="s">
        <v>2</v>
      </c>
      <c r="G6" s="2" t="s">
        <v>9</v>
      </c>
      <c r="H6" s="2" t="s">
        <v>16</v>
      </c>
      <c r="I6" s="2" t="s">
        <v>17</v>
      </c>
      <c r="J6" s="2" t="s">
        <v>11</v>
      </c>
      <c r="K6" s="2" t="s">
        <v>18</v>
      </c>
      <c r="M6" s="2" t="str">
        <f>TRIM(_xlfn.CONCAT(F6," ",G6," ",H6," ",I6," ",J6," ",K6," ",L6))</f>
        <v>Club Salvamento Acuatico Ourense - SALVOUR</v>
      </c>
      <c r="N6" s="3">
        <v>9.6909722222222217E-2</v>
      </c>
      <c r="O6" s="3">
        <v>9.3854166666666669E-2</v>
      </c>
      <c r="P6" s="2">
        <v>16</v>
      </c>
      <c r="R6" s="2">
        <v>3</v>
      </c>
      <c r="S6" s="2" t="s">
        <v>313</v>
      </c>
      <c r="T6" s="2" t="s">
        <v>314</v>
      </c>
      <c r="V6" s="2">
        <v>2007</v>
      </c>
      <c r="W6" s="2" t="s">
        <v>2</v>
      </c>
      <c r="X6" s="2" t="s">
        <v>210</v>
      </c>
      <c r="AF6" s="2" t="str">
        <f>TRIM(_xlfn.CONCAT(W6," ",X6," ",Y6," ",Z6," ",AA6," ",AB6," ",AC6," ",AD6," ",AE6))</f>
        <v>Club Leucante</v>
      </c>
      <c r="AG6" s="3">
        <v>8.6412037037037037E-2</v>
      </c>
      <c r="AH6" s="3">
        <v>8.4722222222222227E-2</v>
      </c>
      <c r="AI6" s="2">
        <v>16</v>
      </c>
      <c r="AK6" s="2">
        <v>4</v>
      </c>
      <c r="AL6" s="2" t="s">
        <v>315</v>
      </c>
      <c r="AM6" s="2" t="s">
        <v>687</v>
      </c>
      <c r="AN6" s="2" t="s">
        <v>207</v>
      </c>
      <c r="AO6" s="2">
        <v>1992</v>
      </c>
      <c r="AP6" s="2" t="s">
        <v>567</v>
      </c>
      <c r="AQ6" s="2" t="s">
        <v>9</v>
      </c>
      <c r="AR6" s="2" t="s">
        <v>568</v>
      </c>
      <c r="AY6" s="2" t="str">
        <f>TRIM(_xlfn.CONCAT(AP6," ",AQ6," ",AR6," ",AS6," ",AT6," ",AU6," ",AV6," ",AW6," ",AX6))</f>
        <v>Escuela Salvamento Almendralejo</v>
      </c>
      <c r="AZ6" s="3">
        <v>0.11564814814814815</v>
      </c>
      <c r="BA6" s="3"/>
      <c r="BB6" s="2">
        <v>16</v>
      </c>
      <c r="BD6" s="2">
        <v>3</v>
      </c>
      <c r="BE6" s="2" t="s">
        <v>717</v>
      </c>
      <c r="BF6" s="2" t="s">
        <v>718</v>
      </c>
      <c r="BG6" s="2" t="s">
        <v>248</v>
      </c>
      <c r="BH6" s="2">
        <v>1992</v>
      </c>
      <c r="BI6" s="2" t="s">
        <v>2</v>
      </c>
      <c r="BJ6" s="2" t="s">
        <v>242</v>
      </c>
      <c r="BK6" s="2" t="s">
        <v>243</v>
      </c>
      <c r="BR6" s="2" t="str">
        <f>TRIM(_xlfn.CONCAT(BI6," ",BJ6," ",BK6," ",BL6," ",BM6," ",BN6," ",BO6," ",BP6," ",BQ6))</f>
        <v>Club Acuático Umia</v>
      </c>
      <c r="BS6" s="3">
        <v>9.6145833333333333E-2</v>
      </c>
      <c r="BT6" s="3"/>
      <c r="BU6" s="2">
        <v>16</v>
      </c>
    </row>
    <row r="7" spans="1:73" x14ac:dyDescent="0.6">
      <c r="A7" s="2">
        <v>4</v>
      </c>
      <c r="B7" s="2" t="s">
        <v>19</v>
      </c>
      <c r="C7" s="2" t="s">
        <v>20</v>
      </c>
      <c r="D7" s="2" t="s">
        <v>21</v>
      </c>
      <c r="E7" s="2">
        <v>2008</v>
      </c>
      <c r="F7" s="2" t="s">
        <v>2</v>
      </c>
      <c r="G7" s="2" t="s">
        <v>22</v>
      </c>
      <c r="H7" s="2" t="s">
        <v>23</v>
      </c>
      <c r="M7" s="2" t="str">
        <f>TRIM(_xlfn.CONCAT(F7," ",G7," ",H7," ",I7," ",J7," ",K7," ",L7))</f>
        <v>Club Natació Banyoles</v>
      </c>
      <c r="N7" s="3">
        <v>9.5520833333333333E-2</v>
      </c>
      <c r="O7" s="3">
        <v>9.4467592592592589E-2</v>
      </c>
      <c r="P7" s="2">
        <v>14</v>
      </c>
      <c r="R7" s="2">
        <v>4</v>
      </c>
      <c r="S7" s="2" t="s">
        <v>315</v>
      </c>
      <c r="T7" s="2" t="s">
        <v>316</v>
      </c>
      <c r="U7" s="2" t="s">
        <v>317</v>
      </c>
      <c r="V7" s="2">
        <v>2007</v>
      </c>
      <c r="W7" s="2" t="s">
        <v>2</v>
      </c>
      <c r="X7" s="2" t="s">
        <v>9</v>
      </c>
      <c r="Y7" s="2" t="s">
        <v>116</v>
      </c>
      <c r="AF7" s="2" t="str">
        <f>TRIM(_xlfn.CONCAT(W7," ",X7," ",Y7," ",Z7," ",AA7," ",AB7," ",AC7," ",AD7," ",AE7))</f>
        <v>Club Salvamento Vilagarcía</v>
      </c>
      <c r="AG7" s="3">
        <v>8.6145833333333338E-2</v>
      </c>
      <c r="AH7" s="3">
        <v>8.5300925925925933E-2</v>
      </c>
      <c r="AI7" s="2">
        <v>14</v>
      </c>
      <c r="AK7" s="2">
        <v>5</v>
      </c>
      <c r="AL7" s="2" t="s">
        <v>435</v>
      </c>
      <c r="AM7" s="2" t="s">
        <v>570</v>
      </c>
      <c r="AN7" s="2" t="s">
        <v>571</v>
      </c>
      <c r="AO7" s="2">
        <v>1995</v>
      </c>
      <c r="AP7" s="2" t="s">
        <v>572</v>
      </c>
      <c r="AQ7" s="2" t="s">
        <v>573</v>
      </c>
      <c r="AR7" s="2" t="s">
        <v>574</v>
      </c>
      <c r="AS7" s="2" t="s">
        <v>575</v>
      </c>
      <c r="AY7" s="2" t="str">
        <f>TRIM(_xlfn.CONCAT(AP7," ",AQ7," ",AR7," ",AS7," ",AT7," ",AU7," ",AV7," ",AW7," ",AX7))</f>
        <v>Loredo Surf Life Saving</v>
      </c>
      <c r="AZ7" s="3">
        <v>0.11677083333333334</v>
      </c>
      <c r="BA7" s="3"/>
      <c r="BB7" s="2">
        <v>14</v>
      </c>
      <c r="BD7" s="2">
        <v>4</v>
      </c>
      <c r="BE7" s="2" t="s">
        <v>616</v>
      </c>
      <c r="BF7" s="2" t="s">
        <v>59</v>
      </c>
      <c r="BG7" s="2" t="s">
        <v>719</v>
      </c>
      <c r="BH7" s="2">
        <v>1995</v>
      </c>
      <c r="BI7" s="2" t="s">
        <v>2</v>
      </c>
      <c r="BJ7" s="2" t="s">
        <v>9</v>
      </c>
      <c r="BK7" s="2" t="s">
        <v>649</v>
      </c>
      <c r="BL7" s="2" t="s">
        <v>650</v>
      </c>
      <c r="BR7" s="2" t="str">
        <f>TRIM(_xlfn.CONCAT(BI7," ",BJ7," ",BK7," ",BL7," ",BM7," ",BN7," ",BO7," ",BP7," ",BQ7))</f>
        <v>Club Salvamento Los Locos</v>
      </c>
      <c r="BS7" s="3">
        <v>9.8136574074074071E-2</v>
      </c>
      <c r="BT7" s="3"/>
      <c r="BU7" s="2">
        <v>14</v>
      </c>
    </row>
    <row r="8" spans="1:73" x14ac:dyDescent="0.6">
      <c r="A8" s="2">
        <v>5</v>
      </c>
      <c r="B8" s="2" t="s">
        <v>24</v>
      </c>
      <c r="C8" s="2" t="s">
        <v>25</v>
      </c>
      <c r="D8" s="2" t="s">
        <v>26</v>
      </c>
      <c r="E8" s="2">
        <v>1999</v>
      </c>
      <c r="F8" s="2" t="s">
        <v>2</v>
      </c>
      <c r="G8" s="2" t="s">
        <v>9</v>
      </c>
      <c r="H8" s="2" t="s">
        <v>27</v>
      </c>
      <c r="I8" s="2" t="s">
        <v>28</v>
      </c>
      <c r="J8" s="2" t="s">
        <v>29</v>
      </c>
      <c r="M8" s="2" t="str">
        <f>TRIM(_xlfn.CONCAT(F8," ",G8," ",H8," ",I8," ",J8," ",K8," ",L8))</f>
        <v>Club Salvamento y Socorrismo Benavente</v>
      </c>
      <c r="N8" s="3">
        <v>9.5405092592592597E-2</v>
      </c>
      <c r="O8" s="3">
        <v>9.5509259259259266E-2</v>
      </c>
      <c r="P8" s="2">
        <v>13</v>
      </c>
      <c r="R8" s="2">
        <v>5</v>
      </c>
      <c r="S8" s="2" t="s">
        <v>435</v>
      </c>
      <c r="T8" s="2" t="s">
        <v>52</v>
      </c>
      <c r="U8" s="2" t="s">
        <v>318</v>
      </c>
      <c r="V8" s="2">
        <v>2008</v>
      </c>
      <c r="W8" s="2" t="s">
        <v>2</v>
      </c>
      <c r="X8" s="2" t="s">
        <v>3</v>
      </c>
      <c r="Y8" s="2" t="s">
        <v>33</v>
      </c>
      <c r="Z8" s="2" t="s">
        <v>34</v>
      </c>
      <c r="AF8" s="2" t="str">
        <f>TRIM(_xlfn.CONCAT(W8," ",X8," ",Y8," ",Z8," ",AA8," ",AB8," ",AC8," ",AD8," ",AE8))</f>
        <v>Club Deportivo Oca S.O.S</v>
      </c>
      <c r="AG8" s="3">
        <v>8.6307870370370368E-2</v>
      </c>
      <c r="AH8" s="3">
        <v>8.548611111111111E-2</v>
      </c>
      <c r="AI8" s="2">
        <v>13</v>
      </c>
      <c r="AK8" s="2">
        <v>6</v>
      </c>
      <c r="AL8" s="2" t="s">
        <v>319</v>
      </c>
      <c r="AM8" s="2" t="s">
        <v>257</v>
      </c>
      <c r="AN8" s="2" t="s">
        <v>8</v>
      </c>
      <c r="AO8" s="2">
        <v>1992</v>
      </c>
      <c r="AP8" s="2" t="s">
        <v>171</v>
      </c>
      <c r="AQ8" s="2" t="s">
        <v>172</v>
      </c>
      <c r="AR8" s="2" t="s">
        <v>9</v>
      </c>
      <c r="AY8" s="2" t="str">
        <f>TRIM(_xlfn.CONCAT(AP8," ",AQ8," ",AR8," ",AS8," ",AT8," ",AU8," ",AV8," ",AW8," ",AX8))</f>
        <v>C.D.E Pacífico Salvamento</v>
      </c>
      <c r="AZ8" s="3">
        <v>0.13002314814814814</v>
      </c>
      <c r="BA8" s="3"/>
      <c r="BB8" s="2">
        <v>13</v>
      </c>
      <c r="BD8" s="2">
        <v>5</v>
      </c>
      <c r="BE8" s="2" t="s">
        <v>129</v>
      </c>
      <c r="BF8" s="2" t="s">
        <v>111</v>
      </c>
      <c r="BG8" s="2" t="s">
        <v>398</v>
      </c>
      <c r="BH8" s="2">
        <v>1995</v>
      </c>
      <c r="BI8" s="2" t="s">
        <v>720</v>
      </c>
      <c r="BJ8" s="2" t="s">
        <v>43</v>
      </c>
      <c r="BK8" s="2" t="s">
        <v>721</v>
      </c>
      <c r="BL8" s="2" t="s">
        <v>722</v>
      </c>
      <c r="BR8" s="2" t="str">
        <f>TRIM(_xlfn.CONCAT(BI8," ",BJ8," ",BK8," ",BL8," ",BM8," ",BN8," ",BO8," ",BP8," ",BQ8))</f>
        <v>C.D.E. SOS Madrid Este</v>
      </c>
      <c r="BS8" s="3">
        <v>0.10089120370370371</v>
      </c>
      <c r="BT8" s="3"/>
      <c r="BU8" s="2">
        <v>13</v>
      </c>
    </row>
    <row r="9" spans="1:73" x14ac:dyDescent="0.6">
      <c r="A9" s="2">
        <v>6</v>
      </c>
      <c r="B9" s="2" t="s">
        <v>30</v>
      </c>
      <c r="C9" s="2" t="s">
        <v>31</v>
      </c>
      <c r="D9" s="2" t="s">
        <v>32</v>
      </c>
      <c r="E9" s="2">
        <v>2010</v>
      </c>
      <c r="F9" s="2" t="s">
        <v>2</v>
      </c>
      <c r="G9" s="2" t="s">
        <v>3</v>
      </c>
      <c r="H9" s="2" t="s">
        <v>33</v>
      </c>
      <c r="I9" s="2" t="s">
        <v>34</v>
      </c>
      <c r="M9" s="2" t="str">
        <f>TRIM(_xlfn.CONCAT(F9," ",G9," ",H9," ",I9," ",J9," ",K9," ",L9))</f>
        <v>Club Deportivo Oca S.O.S</v>
      </c>
      <c r="N9" s="3">
        <v>9.5370370370370369E-2</v>
      </c>
      <c r="O9" s="3">
        <v>9.5902777777777781E-2</v>
      </c>
      <c r="P9" s="2">
        <v>12</v>
      </c>
      <c r="R9" s="2">
        <v>6</v>
      </c>
      <c r="S9" s="2" t="s">
        <v>319</v>
      </c>
      <c r="T9" s="2" t="s">
        <v>320</v>
      </c>
      <c r="U9" s="2" t="s">
        <v>321</v>
      </c>
      <c r="V9" s="2">
        <v>2005</v>
      </c>
      <c r="W9" s="2" t="s">
        <v>2</v>
      </c>
      <c r="X9" s="2" t="s">
        <v>9</v>
      </c>
      <c r="Y9" s="2" t="s">
        <v>10</v>
      </c>
      <c r="Z9" s="2" t="s">
        <v>11</v>
      </c>
      <c r="AA9" s="2" t="s">
        <v>12</v>
      </c>
      <c r="AF9" s="2" t="str">
        <f>TRIM(_xlfn.CONCAT(W9," ",X9," ",Y9," ",Z9," ",AA9," ",AB9," ",AC9," ",AD9," ",AE9))</f>
        <v>Club Salvamento Arteixo - SALVAR</v>
      </c>
      <c r="AG9" s="3">
        <v>8.7037037037037038E-2</v>
      </c>
      <c r="AH9" s="3">
        <v>8.6157407407407405E-2</v>
      </c>
      <c r="AI9" s="2">
        <v>12</v>
      </c>
      <c r="AK9" s="2">
        <v>7</v>
      </c>
      <c r="AL9" s="2" t="s">
        <v>270</v>
      </c>
      <c r="AM9" s="2" t="s">
        <v>576</v>
      </c>
      <c r="AO9" s="2">
        <v>1994</v>
      </c>
      <c r="AP9" s="2" t="s">
        <v>171</v>
      </c>
      <c r="AQ9" s="2" t="s">
        <v>172</v>
      </c>
      <c r="AR9" s="2" t="s">
        <v>9</v>
      </c>
      <c r="AY9" s="2" t="str">
        <f>TRIM(_xlfn.CONCAT(AP9," ",AQ9," ",AR9," ",AS9," ",AT9," ",AU9," ",AV9," ",AW9," ",AX9))</f>
        <v>C.D.E Pacífico Salvamento</v>
      </c>
      <c r="AZ9" s="3">
        <v>0.13693287037037036</v>
      </c>
      <c r="BA9" s="3"/>
      <c r="BB9" s="2">
        <v>12</v>
      </c>
      <c r="BD9" s="2">
        <v>6</v>
      </c>
      <c r="BE9" s="2" t="s">
        <v>870</v>
      </c>
      <c r="BF9" s="2" t="s">
        <v>723</v>
      </c>
      <c r="BG9" s="2" t="s">
        <v>724</v>
      </c>
      <c r="BH9" s="2">
        <v>1992</v>
      </c>
      <c r="BI9" s="2" t="s">
        <v>2</v>
      </c>
      <c r="BJ9" s="2" t="s">
        <v>210</v>
      </c>
      <c r="BR9" s="2" t="str">
        <f>TRIM(_xlfn.CONCAT(BI9," ",BJ9," ",BK9," ",BL9," ",BM9," ",BN9," ",BO9," ",BP9," ",BQ9))</f>
        <v>Club Leucante</v>
      </c>
      <c r="BS9" s="3">
        <v>0.10126157407407407</v>
      </c>
      <c r="BT9" s="3"/>
      <c r="BU9" s="2">
        <v>12</v>
      </c>
    </row>
    <row r="10" spans="1:73" x14ac:dyDescent="0.6">
      <c r="A10" s="2">
        <v>7</v>
      </c>
      <c r="B10" s="2" t="s">
        <v>35</v>
      </c>
      <c r="C10" s="2" t="s">
        <v>36</v>
      </c>
      <c r="D10" s="2" t="s">
        <v>37</v>
      </c>
      <c r="E10" s="2">
        <v>2008</v>
      </c>
      <c r="F10" s="2" t="s">
        <v>2</v>
      </c>
      <c r="G10" s="2" t="s">
        <v>22</v>
      </c>
      <c r="H10" s="2" t="s">
        <v>23</v>
      </c>
      <c r="M10" s="2" t="str">
        <f>TRIM(_xlfn.CONCAT(F10," ",G10," ",H10," ",I10," ",J10," ",K10," ",L10))</f>
        <v>Club Natació Banyoles</v>
      </c>
      <c r="N10" s="3">
        <v>9.6863425925925922E-2</v>
      </c>
      <c r="O10" s="3">
        <v>9.6111111111111105E-2</v>
      </c>
      <c r="P10" s="2">
        <v>11</v>
      </c>
      <c r="R10" s="2">
        <v>7</v>
      </c>
      <c r="S10" s="2" t="s">
        <v>270</v>
      </c>
      <c r="T10" s="2" t="s">
        <v>149</v>
      </c>
      <c r="U10" s="2" t="s">
        <v>321</v>
      </c>
      <c r="V10" s="2">
        <v>2002</v>
      </c>
      <c r="W10" s="2" t="s">
        <v>2</v>
      </c>
      <c r="X10" s="2" t="s">
        <v>88</v>
      </c>
      <c r="Y10" s="2" t="s">
        <v>43</v>
      </c>
      <c r="AF10" s="2" t="str">
        <f>TRIM(_xlfn.CONCAT(W10," ",X10," ",Y10," ",Z10," ",AA10," ",AB10," ",AC10," ",AD10," ",AE10))</f>
        <v>Club Laguna SOS</v>
      </c>
      <c r="AG10" s="3">
        <v>8.7592592592592597E-2</v>
      </c>
      <c r="AH10" s="3">
        <v>8.6192129629629632E-2</v>
      </c>
      <c r="AI10" s="2">
        <v>11</v>
      </c>
      <c r="AK10" s="2">
        <v>8</v>
      </c>
      <c r="AL10" s="2" t="s">
        <v>322</v>
      </c>
      <c r="AM10" s="2" t="s">
        <v>577</v>
      </c>
      <c r="AN10" s="2" t="s">
        <v>578</v>
      </c>
      <c r="AO10" s="2">
        <v>1991</v>
      </c>
      <c r="AP10" s="2" t="s">
        <v>2</v>
      </c>
      <c r="AQ10" s="2" t="s">
        <v>9</v>
      </c>
      <c r="AR10" s="2" t="s">
        <v>27</v>
      </c>
      <c r="AS10" s="2" t="s">
        <v>28</v>
      </c>
      <c r="AT10" s="2" t="s">
        <v>139</v>
      </c>
      <c r="AU10" s="2" t="s">
        <v>11</v>
      </c>
      <c r="AV10" s="2" t="s">
        <v>140</v>
      </c>
      <c r="AY10" s="2" t="str">
        <f>TRIM(_xlfn.CONCAT(AP10," ",AQ10," ",AR10," ",AS10," ",AT10," ",AU10," ",AV10," ",AW10," ",AX10))</f>
        <v>Club Salvamento y Socorrismo Carballo - SYSCA</v>
      </c>
      <c r="AZ10" s="3">
        <v>0.14356481481481481</v>
      </c>
      <c r="BA10" s="3"/>
      <c r="BB10" s="2">
        <v>11</v>
      </c>
      <c r="BD10" s="2">
        <v>7</v>
      </c>
      <c r="BE10" s="2" t="s">
        <v>725</v>
      </c>
      <c r="BF10" s="2" t="s">
        <v>726</v>
      </c>
      <c r="BG10" s="2" t="s">
        <v>871</v>
      </c>
      <c r="BH10" s="2">
        <v>1992</v>
      </c>
      <c r="BI10" s="2" t="s">
        <v>2</v>
      </c>
      <c r="BJ10" s="2" t="s">
        <v>108</v>
      </c>
      <c r="BK10" s="2" t="s">
        <v>109</v>
      </c>
      <c r="BR10" s="2" t="str">
        <f>TRIM(_xlfn.CONCAT(BI10," ",BJ10," ",BK10," ",BL10," ",BM10," ",BN10," ",BO10," ",BP10," ",BQ10))</f>
        <v>Club A.C.N. Marisma</v>
      </c>
      <c r="BS10" s="3">
        <v>0.10337962962962963</v>
      </c>
      <c r="BT10" s="3"/>
      <c r="BU10" s="2">
        <v>11</v>
      </c>
    </row>
    <row r="11" spans="1:73" x14ac:dyDescent="0.6">
      <c r="A11" s="2">
        <v>8</v>
      </c>
      <c r="B11" s="2" t="s">
        <v>38</v>
      </c>
      <c r="C11" s="2" t="s">
        <v>39</v>
      </c>
      <c r="D11" s="2" t="s">
        <v>40</v>
      </c>
      <c r="E11" s="2">
        <v>2008</v>
      </c>
      <c r="F11" s="2" t="s">
        <v>41</v>
      </c>
      <c r="G11" s="2" t="s">
        <v>42</v>
      </c>
      <c r="H11" s="2" t="s">
        <v>43</v>
      </c>
      <c r="I11" s="2" t="s">
        <v>44</v>
      </c>
      <c r="J11" s="2" t="s">
        <v>45</v>
      </c>
      <c r="M11" s="2" t="str">
        <f>TRIM(_xlfn.CONCAT(F11," ",G11," ",H11," ",I11," ",J11," ",K11," ",L11))</f>
        <v>C. D. SOS La Bañeza</v>
      </c>
      <c r="N11" s="3">
        <v>9.7604166666666672E-2</v>
      </c>
      <c r="O11" s="3">
        <v>9.8796296296296299E-2</v>
      </c>
      <c r="P11" s="2">
        <v>10</v>
      </c>
      <c r="R11" s="2">
        <v>8</v>
      </c>
      <c r="S11" s="2" t="s">
        <v>322</v>
      </c>
      <c r="T11" s="2" t="s">
        <v>323</v>
      </c>
      <c r="U11" s="2" t="s">
        <v>324</v>
      </c>
      <c r="V11" s="2">
        <v>2008</v>
      </c>
      <c r="W11" s="2" t="s">
        <v>41</v>
      </c>
      <c r="X11" s="2" t="s">
        <v>42</v>
      </c>
      <c r="Y11" s="2" t="s">
        <v>43</v>
      </c>
      <c r="Z11" s="2" t="s">
        <v>44</v>
      </c>
      <c r="AA11" s="2" t="s">
        <v>45</v>
      </c>
      <c r="AF11" s="2" t="str">
        <f>TRIM(_xlfn.CONCAT(W11," ",X11," ",Y11," ",Z11," ",AA11," ",AB11," ",AC11," ",AD11," ",AE11))</f>
        <v>C. D. SOS La Bañeza</v>
      </c>
      <c r="AG11" s="3">
        <v>8.6608796296296295E-2</v>
      </c>
      <c r="AH11" s="3">
        <v>8.638888888888889E-2</v>
      </c>
      <c r="AI11" s="2">
        <v>10</v>
      </c>
      <c r="AK11" s="2">
        <v>9</v>
      </c>
      <c r="AL11" s="2" t="s">
        <v>325</v>
      </c>
      <c r="AM11" s="2" t="s">
        <v>579</v>
      </c>
      <c r="AN11" s="2" t="s">
        <v>580</v>
      </c>
      <c r="AO11" s="2">
        <v>1993</v>
      </c>
      <c r="AP11" s="2" t="s">
        <v>2</v>
      </c>
      <c r="AQ11" s="2" t="s">
        <v>210</v>
      </c>
      <c r="AY11" s="2" t="str">
        <f>TRIM(_xlfn.CONCAT(AP11," ",AQ11," ",AR11," ",AS11," ",AT11," ",AU11," ",AV11," ",AW11," ",AX11))</f>
        <v>Club Leucante</v>
      </c>
      <c r="AZ11" s="3">
        <v>0.15033564814814815</v>
      </c>
      <c r="BA11" s="3"/>
      <c r="BB11" s="2">
        <v>10</v>
      </c>
      <c r="BD11" s="2">
        <v>8</v>
      </c>
      <c r="BE11" s="2" t="s">
        <v>111</v>
      </c>
      <c r="BF11" s="2" t="s">
        <v>727</v>
      </c>
      <c r="BG11" s="2" t="s">
        <v>318</v>
      </c>
      <c r="BH11" s="2">
        <v>1994</v>
      </c>
      <c r="BI11" s="2" t="s">
        <v>572</v>
      </c>
      <c r="BJ11" s="2" t="s">
        <v>573</v>
      </c>
      <c r="BK11" s="2" t="s">
        <v>574</v>
      </c>
      <c r="BL11" s="2" t="s">
        <v>575</v>
      </c>
      <c r="BR11" s="2" t="str">
        <f>TRIM(_xlfn.CONCAT(BI11," ",BJ11," ",BK11," ",BL11," ",BM11," ",BN11," ",BO11," ",BP11," ",BQ11))</f>
        <v>Loredo Surf Life Saving</v>
      </c>
      <c r="BS11" s="3">
        <v>0.1034375</v>
      </c>
      <c r="BT11" s="3"/>
      <c r="BU11" s="2">
        <v>10</v>
      </c>
    </row>
    <row r="12" spans="1:73" x14ac:dyDescent="0.6">
      <c r="A12" s="2">
        <v>9</v>
      </c>
      <c r="B12" s="2" t="s">
        <v>46</v>
      </c>
      <c r="C12" s="2" t="s">
        <v>47</v>
      </c>
      <c r="D12" s="2" t="s">
        <v>48</v>
      </c>
      <c r="E12" s="2">
        <v>2006</v>
      </c>
      <c r="F12" s="2" t="s">
        <v>2</v>
      </c>
      <c r="G12" s="2" t="s">
        <v>22</v>
      </c>
      <c r="H12" s="2" t="s">
        <v>23</v>
      </c>
      <c r="M12" s="2" t="str">
        <f>TRIM(_xlfn.CONCAT(F12," ",G12," ",H12," ",I12," ",J12," ",K12," ",L12))</f>
        <v>Club Natació Banyoles</v>
      </c>
      <c r="N12" s="3">
        <v>9.9247685185185189E-2</v>
      </c>
      <c r="O12" s="3">
        <v>9.7708333333333328E-2</v>
      </c>
      <c r="P12" s="2">
        <v>8</v>
      </c>
      <c r="R12" s="2">
        <v>9</v>
      </c>
      <c r="S12" s="2" t="s">
        <v>325</v>
      </c>
      <c r="T12" s="2" t="s">
        <v>326</v>
      </c>
      <c r="U12" s="2" t="s">
        <v>327</v>
      </c>
      <c r="V12" s="2">
        <v>2009</v>
      </c>
      <c r="W12" s="2" t="s">
        <v>2</v>
      </c>
      <c r="X12" s="2" t="s">
        <v>9</v>
      </c>
      <c r="Y12" s="2" t="s">
        <v>27</v>
      </c>
      <c r="Z12" s="2" t="s">
        <v>28</v>
      </c>
      <c r="AA12" s="2" t="s">
        <v>29</v>
      </c>
      <c r="AF12" s="2" t="str">
        <f>TRIM(_xlfn.CONCAT(W12," ",X12," ",Y12," ",Z12," ",AA12," ",AB12," ",AC12," ",AD12," ",AE12))</f>
        <v>Club Salvamento y Socorrismo Benavente</v>
      </c>
      <c r="AG12" s="3">
        <v>8.880787037037037E-2</v>
      </c>
      <c r="AH12" s="3">
        <v>8.7106481481481479E-2</v>
      </c>
      <c r="AI12" s="2">
        <v>8</v>
      </c>
      <c r="AK12" s="2">
        <v>10</v>
      </c>
      <c r="AL12" s="2" t="s">
        <v>328</v>
      </c>
      <c r="AM12" s="2" t="s">
        <v>581</v>
      </c>
      <c r="AN12" s="2" t="s">
        <v>582</v>
      </c>
      <c r="AO12" s="2">
        <v>1994</v>
      </c>
      <c r="AP12" s="2" t="s">
        <v>171</v>
      </c>
      <c r="AQ12" s="2" t="s">
        <v>172</v>
      </c>
      <c r="AR12" s="2" t="s">
        <v>9</v>
      </c>
      <c r="AY12" s="2" t="str">
        <f>TRIM(_xlfn.CONCAT(AP12," ",AQ12," ",AR12," ",AS12," ",AT12," ",AU12," ",AV12," ",AW12," ",AX12))</f>
        <v>C.D.E Pacífico Salvamento</v>
      </c>
      <c r="AZ12" s="3">
        <v>0.17299768518518518</v>
      </c>
      <c r="BA12" s="3"/>
      <c r="BB12" s="2">
        <v>8</v>
      </c>
      <c r="BD12" s="2">
        <v>9</v>
      </c>
      <c r="BE12" s="2" t="s">
        <v>728</v>
      </c>
      <c r="BF12" s="2" t="s">
        <v>52</v>
      </c>
      <c r="BG12" s="2" t="s">
        <v>332</v>
      </c>
      <c r="BH12" s="2">
        <v>1991</v>
      </c>
      <c r="BI12" s="2" t="s">
        <v>171</v>
      </c>
      <c r="BJ12" s="2" t="s">
        <v>172</v>
      </c>
      <c r="BK12" s="2" t="s">
        <v>9</v>
      </c>
      <c r="BR12" s="2" t="str">
        <f>TRIM(_xlfn.CONCAT(BI12," ",BJ12," ",BK12," ",BL12," ",BM12," ",BN12," ",BO12," ",BP12," ",BQ12))</f>
        <v>C.D.E Pacífico Salvamento</v>
      </c>
      <c r="BS12" s="3">
        <v>0.10425925925925926</v>
      </c>
      <c r="BT12" s="3"/>
      <c r="BU12" s="2">
        <v>8</v>
      </c>
    </row>
    <row r="13" spans="1:73" x14ac:dyDescent="0.6">
      <c r="A13" s="2">
        <v>10</v>
      </c>
      <c r="B13" s="2" t="s">
        <v>49</v>
      </c>
      <c r="C13" s="2" t="s">
        <v>50</v>
      </c>
      <c r="D13" s="2" t="s">
        <v>37</v>
      </c>
      <c r="E13" s="2">
        <v>2007</v>
      </c>
      <c r="F13" s="2" t="s">
        <v>2</v>
      </c>
      <c r="G13" s="2" t="s">
        <v>9</v>
      </c>
      <c r="H13" s="2" t="s">
        <v>27</v>
      </c>
      <c r="I13" s="2" t="s">
        <v>4</v>
      </c>
      <c r="J13" s="2" t="s">
        <v>51</v>
      </c>
      <c r="M13" s="2" t="str">
        <f>TRIM(_xlfn.CONCAT(F13," ",G13," ",H13," ",I13," ",J13," ",K13," ",L13))</f>
        <v>Club Salvamento y Natación Silla</v>
      </c>
      <c r="N13" s="3">
        <v>9.9340277777777777E-2</v>
      </c>
      <c r="O13" s="3">
        <v>9.7812499999999997E-2</v>
      </c>
      <c r="P13" s="2">
        <v>7</v>
      </c>
      <c r="R13" s="2">
        <v>10</v>
      </c>
      <c r="S13" s="2" t="s">
        <v>328</v>
      </c>
      <c r="T13" s="2" t="s">
        <v>434</v>
      </c>
      <c r="U13" s="2" t="s">
        <v>329</v>
      </c>
      <c r="V13" s="2">
        <v>2007</v>
      </c>
      <c r="W13" s="2" t="s">
        <v>162</v>
      </c>
      <c r="X13" s="2" t="s">
        <v>2</v>
      </c>
      <c r="Y13" s="2" t="s">
        <v>163</v>
      </c>
      <c r="Z13" s="2" t="s">
        <v>63</v>
      </c>
      <c r="AA13" s="2" t="s">
        <v>164</v>
      </c>
      <c r="AF13" s="2" t="str">
        <f>TRIM(_xlfn.CONCAT(W13," ",X13," ",Y13," ",Z13," ",AA13," ",AB13," ",AC13," ",AD13," ",AE13))</f>
        <v>Real Club Náutico de Tenerife</v>
      </c>
      <c r="AG13" s="3">
        <v>8.8009259259259259E-2</v>
      </c>
      <c r="AH13" s="3">
        <v>8.7060185185185185E-2</v>
      </c>
      <c r="AI13" s="2">
        <v>7</v>
      </c>
      <c r="AK13" s="2">
        <v>11</v>
      </c>
      <c r="AL13" s="2" t="s">
        <v>330</v>
      </c>
      <c r="AM13" s="2" t="s">
        <v>583</v>
      </c>
      <c r="AN13" s="2" t="s">
        <v>584</v>
      </c>
      <c r="AO13" s="2">
        <v>1987</v>
      </c>
      <c r="AP13" s="2" t="s">
        <v>2</v>
      </c>
      <c r="AQ13" s="2" t="s">
        <v>4</v>
      </c>
      <c r="AR13" s="2" t="s">
        <v>585</v>
      </c>
      <c r="AS13" s="2" t="s">
        <v>586</v>
      </c>
      <c r="AT13" s="2" t="s">
        <v>587</v>
      </c>
      <c r="AY13" s="2" t="str">
        <f>TRIM(_xlfn.CONCAT(AP13," ",AQ13," ",AR13," ",AS13," ",AT13," ",AU13," ",AV13," ",AW13," ",AX13))</f>
        <v>Club Natación Martiánez Coral Hotels</v>
      </c>
      <c r="AZ13" s="3">
        <v>0.10770833333333334</v>
      </c>
      <c r="BA13" s="3"/>
      <c r="BB13" s="2">
        <v>20</v>
      </c>
      <c r="BD13" s="2">
        <v>10</v>
      </c>
      <c r="BE13" s="2" t="s">
        <v>729</v>
      </c>
      <c r="BF13" s="2" t="s">
        <v>555</v>
      </c>
      <c r="BG13" s="2" t="s">
        <v>421</v>
      </c>
      <c r="BH13" s="2">
        <v>1993</v>
      </c>
      <c r="BI13" s="2" t="s">
        <v>2</v>
      </c>
      <c r="BJ13" s="2" t="s">
        <v>3</v>
      </c>
      <c r="BK13" s="2" t="s">
        <v>33</v>
      </c>
      <c r="BL13" s="2" t="s">
        <v>34</v>
      </c>
      <c r="BR13" s="2" t="str">
        <f>TRIM(_xlfn.CONCAT(BI13," ",BJ13," ",BK13," ",BL13," ",BM13," ",BN13," ",BO13," ",BP13," ",BQ13))</f>
        <v>Club Deportivo Oca S.O.S</v>
      </c>
      <c r="BS13" s="3">
        <v>0.10575231481481481</v>
      </c>
      <c r="BT13" s="3"/>
      <c r="BU13" s="2">
        <v>7</v>
      </c>
    </row>
    <row r="14" spans="1:73" x14ac:dyDescent="0.6">
      <c r="A14" s="2">
        <v>11</v>
      </c>
      <c r="B14" s="2" t="s">
        <v>52</v>
      </c>
      <c r="C14" s="2" t="s">
        <v>53</v>
      </c>
      <c r="D14" s="2" t="s">
        <v>54</v>
      </c>
      <c r="E14" s="2">
        <v>1993</v>
      </c>
      <c r="F14" s="2" t="s">
        <v>2</v>
      </c>
      <c r="G14" s="2" t="s">
        <v>4</v>
      </c>
      <c r="H14" s="2" t="s">
        <v>55</v>
      </c>
      <c r="M14" s="2" t="str">
        <f>TRIM(_xlfn.CONCAT(F14," ",G14," ",H14," ",I14," ",J14," ",K14," ",L14))</f>
        <v>Club Natación Guadalajara</v>
      </c>
      <c r="N14" s="3">
        <v>9.9814814814814815E-2</v>
      </c>
      <c r="O14" s="3">
        <v>9.8101851851851857E-2</v>
      </c>
      <c r="P14" s="2">
        <v>6</v>
      </c>
      <c r="R14" s="2">
        <v>11</v>
      </c>
      <c r="S14" s="2" t="s">
        <v>330</v>
      </c>
      <c r="T14" s="2" t="s">
        <v>331</v>
      </c>
      <c r="U14" s="2" t="s">
        <v>332</v>
      </c>
      <c r="V14" s="2">
        <v>2008</v>
      </c>
      <c r="W14" s="2" t="s">
        <v>41</v>
      </c>
      <c r="X14" s="2" t="s">
        <v>42</v>
      </c>
      <c r="Y14" s="2" t="s">
        <v>43</v>
      </c>
      <c r="Z14" s="2" t="s">
        <v>44</v>
      </c>
      <c r="AA14" s="2" t="s">
        <v>45</v>
      </c>
      <c r="AF14" s="2" t="str">
        <f>TRIM(_xlfn.CONCAT(W14," ",X14," ",Y14," ",Z14," ",AA14," ",AB14," ",AC14," ",AD14," ",AE14))</f>
        <v>C. D. SOS La Bañeza</v>
      </c>
      <c r="AG14" s="3">
        <v>8.8414351851851855E-2</v>
      </c>
      <c r="AH14" s="3">
        <v>8.7326388888888884E-2</v>
      </c>
      <c r="AI14" s="2">
        <v>6</v>
      </c>
      <c r="AK14" s="2">
        <v>12</v>
      </c>
      <c r="AL14" s="2" t="s">
        <v>333</v>
      </c>
      <c r="AM14" s="2" t="s">
        <v>588</v>
      </c>
      <c r="AN14" s="2" t="s">
        <v>589</v>
      </c>
      <c r="AO14" s="2">
        <v>1987</v>
      </c>
      <c r="AP14" s="2" t="s">
        <v>2</v>
      </c>
      <c r="AQ14" s="2" t="s">
        <v>4</v>
      </c>
      <c r="AR14" s="2" t="s">
        <v>27</v>
      </c>
      <c r="AS14" s="2" t="s">
        <v>9</v>
      </c>
      <c r="AT14" s="2" t="s">
        <v>75</v>
      </c>
      <c r="AY14" s="2" t="str">
        <f>TRIM(_xlfn.CONCAT(AP14," ",AQ14," ",AR14," ",AS14," ",AT14," ",AU14," ",AV14," ",AW14," ",AX14))</f>
        <v>Club Natación y Salvamento Albasit</v>
      </c>
      <c r="AZ14" s="3">
        <v>0.11827546296296296</v>
      </c>
      <c r="BA14" s="3"/>
      <c r="BB14" s="2">
        <v>18</v>
      </c>
      <c r="BD14" s="2">
        <v>11</v>
      </c>
      <c r="BE14" s="2" t="s">
        <v>730</v>
      </c>
      <c r="BF14" s="2" t="s">
        <v>257</v>
      </c>
      <c r="BG14" s="2" t="s">
        <v>872</v>
      </c>
      <c r="BH14" s="2">
        <v>1993</v>
      </c>
      <c r="BI14" s="2" t="s">
        <v>567</v>
      </c>
      <c r="BJ14" s="2" t="s">
        <v>9</v>
      </c>
      <c r="BK14" s="2" t="s">
        <v>568</v>
      </c>
      <c r="BR14" s="2" t="str">
        <f>TRIM(_xlfn.CONCAT(BI14," ",BJ14," ",BK14," ",BL14," ",BM14," ",BN14," ",BO14," ",BP14," ",BQ14))</f>
        <v>Escuela Salvamento Almendralejo</v>
      </c>
      <c r="BS14" s="3">
        <v>0.1084837962962963</v>
      </c>
      <c r="BT14" s="3"/>
      <c r="BU14" s="2">
        <v>6</v>
      </c>
    </row>
    <row r="15" spans="1:73" x14ac:dyDescent="0.6">
      <c r="A15" s="2">
        <v>12</v>
      </c>
      <c r="B15" s="2" t="s">
        <v>56</v>
      </c>
      <c r="C15" s="2" t="s">
        <v>57</v>
      </c>
      <c r="D15" s="2" t="s">
        <v>58</v>
      </c>
      <c r="E15" s="2">
        <v>2006</v>
      </c>
      <c r="F15" s="2" t="s">
        <v>2</v>
      </c>
      <c r="G15" s="2" t="s">
        <v>4</v>
      </c>
      <c r="H15" s="2" t="s">
        <v>55</v>
      </c>
      <c r="M15" s="2" t="str">
        <f>TRIM(_xlfn.CONCAT(F15," ",G15," ",H15," ",I15," ",J15," ",K15," ",L15))</f>
        <v>Club Natación Guadalajara</v>
      </c>
      <c r="N15" s="3">
        <v>9.9016203703703703E-2</v>
      </c>
      <c r="O15" s="3">
        <v>9.8969907407407409E-2</v>
      </c>
      <c r="P15" s="2">
        <v>5</v>
      </c>
      <c r="R15" s="2">
        <v>12</v>
      </c>
      <c r="S15" s="2" t="s">
        <v>333</v>
      </c>
      <c r="T15" s="2" t="s">
        <v>30</v>
      </c>
      <c r="U15" s="2" t="s">
        <v>334</v>
      </c>
      <c r="V15" s="2">
        <v>2008</v>
      </c>
      <c r="W15" s="2" t="s">
        <v>91</v>
      </c>
      <c r="X15" s="2" t="s">
        <v>92</v>
      </c>
      <c r="Y15" s="2" t="s">
        <v>93</v>
      </c>
      <c r="Z15" s="2" t="s">
        <v>63</v>
      </c>
      <c r="AA15" s="2" t="s">
        <v>94</v>
      </c>
      <c r="AF15" s="2" t="str">
        <f>TRIM(_xlfn.CONCAT(W15," ",X15," ",Y15," ",Z15," ",AA15," ",AB15," ",AC15," ",AD15," ",AE15))</f>
        <v>Sos Pielagos Playas de Cantabria</v>
      </c>
      <c r="AG15" s="3">
        <v>8.9016203703703708E-2</v>
      </c>
      <c r="AH15" s="3">
        <v>8.7673611111111105E-2</v>
      </c>
      <c r="AI15" s="2">
        <v>5</v>
      </c>
      <c r="AK15" s="2">
        <v>13</v>
      </c>
      <c r="AL15" s="2" t="s">
        <v>335</v>
      </c>
      <c r="AM15" s="2" t="s">
        <v>481</v>
      </c>
      <c r="AN15" s="2" t="s">
        <v>578</v>
      </c>
      <c r="AO15" s="2">
        <v>1987</v>
      </c>
      <c r="AP15" s="2" t="s">
        <v>2</v>
      </c>
      <c r="AQ15" s="2" t="s">
        <v>108</v>
      </c>
      <c r="AR15" s="2" t="s">
        <v>109</v>
      </c>
      <c r="AY15" s="2" t="str">
        <f>TRIM(_xlfn.CONCAT(AP15," ",AQ15," ",AR15," ",AS15," ",AT15," ",AU15," ",AV15," ",AW15," ",AX15))</f>
        <v>Club A.C.N. Marisma</v>
      </c>
      <c r="AZ15" s="3">
        <v>0.11885416666666666</v>
      </c>
      <c r="BA15" s="3"/>
      <c r="BB15" s="2">
        <v>16</v>
      </c>
      <c r="BD15" s="2">
        <v>12</v>
      </c>
      <c r="BE15" s="2" t="s">
        <v>731</v>
      </c>
      <c r="BF15" s="2" t="s">
        <v>732</v>
      </c>
      <c r="BG15" s="2" t="s">
        <v>398</v>
      </c>
      <c r="BH15" s="2">
        <v>1992</v>
      </c>
      <c r="BI15" s="2" t="s">
        <v>2</v>
      </c>
      <c r="BJ15" s="2" t="s">
        <v>210</v>
      </c>
      <c r="BR15" s="2" t="str">
        <f>TRIM(_xlfn.CONCAT(BI15," ",BJ15," ",BK15," ",BL15," ",BM15," ",BN15," ",BO15," ",BP15," ",BQ15))</f>
        <v>Club Leucante</v>
      </c>
      <c r="BS15" s="3">
        <v>0.11743055555555555</v>
      </c>
      <c r="BT15" s="3"/>
      <c r="BU15" s="2">
        <v>5</v>
      </c>
    </row>
    <row r="16" spans="1:73" x14ac:dyDescent="0.6">
      <c r="A16" s="2">
        <v>13</v>
      </c>
      <c r="B16" s="2" t="s">
        <v>59</v>
      </c>
      <c r="C16" s="2" t="s">
        <v>60</v>
      </c>
      <c r="D16" s="2" t="s">
        <v>61</v>
      </c>
      <c r="E16" s="2">
        <v>2011</v>
      </c>
      <c r="F16" s="2" t="s">
        <v>62</v>
      </c>
      <c r="G16" s="2" t="s">
        <v>63</v>
      </c>
      <c r="H16" s="2" t="s">
        <v>9</v>
      </c>
      <c r="I16" s="2" t="s">
        <v>27</v>
      </c>
      <c r="J16" s="2" t="s">
        <v>28</v>
      </c>
      <c r="M16" s="2" t="str">
        <f>TRIM(_xlfn.CONCAT(F16," ",G16," ",H16," ",I16," ",J16," ",K16," ",L16))</f>
        <v>Alcarreño de Salvamento y Socorrismo</v>
      </c>
      <c r="N16" s="3">
        <v>0.10019675925925926</v>
      </c>
      <c r="O16" s="3">
        <v>9.9131944444444439E-2</v>
      </c>
      <c r="P16" s="2">
        <v>4</v>
      </c>
      <c r="R16" s="2">
        <v>13</v>
      </c>
      <c r="S16" s="2" t="s">
        <v>335</v>
      </c>
      <c r="T16" s="2" t="s">
        <v>336</v>
      </c>
      <c r="U16" s="2" t="s">
        <v>337</v>
      </c>
      <c r="V16" s="2">
        <v>2002</v>
      </c>
      <c r="W16" s="2" t="s">
        <v>2</v>
      </c>
      <c r="X16" s="2" t="s">
        <v>4</v>
      </c>
      <c r="Y16" s="2" t="s">
        <v>27</v>
      </c>
      <c r="Z16" s="2" t="s">
        <v>9</v>
      </c>
      <c r="AA16" s="2" t="s">
        <v>98</v>
      </c>
      <c r="AB16" s="2" t="s">
        <v>99</v>
      </c>
      <c r="AF16" s="2" t="str">
        <f>TRIM(_xlfn.CONCAT(W16," ",X16," ",Y16," ",Z16," ",AA16," ",AB16," ",AC16," ",AD16," ",AE16))</f>
        <v>Club Natación y Salvamento Oriol Imperial</v>
      </c>
      <c r="AG16" s="3">
        <v>8.8252314814814811E-2</v>
      </c>
      <c r="AH16" s="3">
        <v>8.8159722222222223E-2</v>
      </c>
      <c r="AI16" s="2">
        <v>4</v>
      </c>
      <c r="AK16" s="2">
        <v>14</v>
      </c>
      <c r="AL16" s="2" t="s">
        <v>338</v>
      </c>
      <c r="AM16" s="2" t="s">
        <v>591</v>
      </c>
      <c r="AN16" s="2" t="s">
        <v>580</v>
      </c>
      <c r="AO16" s="2">
        <v>1990</v>
      </c>
      <c r="AP16" s="2" t="s">
        <v>2</v>
      </c>
      <c r="AQ16" s="2" t="s">
        <v>3</v>
      </c>
      <c r="AR16" s="2" t="s">
        <v>33</v>
      </c>
      <c r="AS16" s="2" t="s">
        <v>34</v>
      </c>
      <c r="AY16" s="2" t="str">
        <f>TRIM(_xlfn.CONCAT(AP16," ",AQ16," ",AR16," ",AS16," ",AT16," ",AU16," ",AV16," ",AW16," ",AX16))</f>
        <v>Club Deportivo Oca S.O.S</v>
      </c>
      <c r="AZ16" s="3">
        <v>0.11929398148148149</v>
      </c>
      <c r="BA16" s="3"/>
      <c r="BB16" s="2">
        <v>14</v>
      </c>
      <c r="BD16" s="2">
        <v>13</v>
      </c>
      <c r="BE16" s="2" t="s">
        <v>209</v>
      </c>
      <c r="BF16" s="2" t="s">
        <v>733</v>
      </c>
      <c r="BG16" s="2" t="s">
        <v>873</v>
      </c>
      <c r="BH16" s="2">
        <v>1992</v>
      </c>
      <c r="BI16" s="2" t="s">
        <v>2</v>
      </c>
      <c r="BJ16" s="2" t="s">
        <v>210</v>
      </c>
      <c r="BR16" s="2" t="str">
        <f>TRIM(_xlfn.CONCAT(BI16," ",BJ16," ",BK16," ",BL16," ",BM16," ",BN16," ",BO16," ",BP16," ",BQ16))</f>
        <v>Club Leucante</v>
      </c>
      <c r="BS16" s="3">
        <v>0.11760416666666666</v>
      </c>
      <c r="BT16" s="3"/>
      <c r="BU16" s="2">
        <v>4</v>
      </c>
    </row>
    <row r="17" spans="1:73" x14ac:dyDescent="0.6">
      <c r="A17" s="2">
        <v>14</v>
      </c>
      <c r="B17" s="2" t="s">
        <v>64</v>
      </c>
      <c r="C17" s="2" t="s">
        <v>65</v>
      </c>
      <c r="D17" s="2" t="s">
        <v>66</v>
      </c>
      <c r="E17" s="2">
        <v>2010</v>
      </c>
      <c r="F17" s="2" t="s">
        <v>2</v>
      </c>
      <c r="G17" s="2" t="s">
        <v>22</v>
      </c>
      <c r="H17" s="2" t="s">
        <v>23</v>
      </c>
      <c r="M17" s="2" t="str">
        <f>TRIM(_xlfn.CONCAT(F17," ",G17," ",H17," ",I17," ",J17," ",K17," ",L17))</f>
        <v>Club Natació Banyoles</v>
      </c>
      <c r="N17" s="3">
        <v>0.10033564814814815</v>
      </c>
      <c r="O17" s="3">
        <v>9.931712962962963E-2</v>
      </c>
      <c r="P17" s="2">
        <v>3</v>
      </c>
      <c r="R17" s="2">
        <v>14</v>
      </c>
      <c r="S17" s="2" t="s">
        <v>338</v>
      </c>
      <c r="T17" s="2" t="s">
        <v>339</v>
      </c>
      <c r="U17" s="2" t="s">
        <v>340</v>
      </c>
      <c r="V17" s="2">
        <v>2004</v>
      </c>
      <c r="W17" s="2" t="s">
        <v>2</v>
      </c>
      <c r="X17" s="2" t="s">
        <v>3</v>
      </c>
      <c r="Y17" s="2" t="s">
        <v>341</v>
      </c>
      <c r="Z17" s="2" t="s">
        <v>342</v>
      </c>
      <c r="AF17" s="2" t="str">
        <f>TRIM(_xlfn.CONCAT(W17," ",X17," ",Y17," ",Z17," ",AA17," ",AB17," ",AC17," ",AD17," ",AE17))</f>
        <v>Club Deportivo Guardavidas Cuenca</v>
      </c>
      <c r="AG17" s="3">
        <v>8.773148148148148E-2</v>
      </c>
      <c r="AH17" s="3">
        <v>8.8287037037037039E-2</v>
      </c>
      <c r="AI17" s="2">
        <v>3</v>
      </c>
      <c r="AK17" s="2">
        <v>15</v>
      </c>
      <c r="AL17" s="2" t="s">
        <v>148</v>
      </c>
      <c r="AM17" s="2" t="s">
        <v>592</v>
      </c>
      <c r="AN17" s="2" t="s">
        <v>251</v>
      </c>
      <c r="AO17" s="2">
        <v>1990</v>
      </c>
      <c r="AP17" s="2" t="s">
        <v>466</v>
      </c>
      <c r="AQ17" s="2" t="s">
        <v>467</v>
      </c>
      <c r="AR17" s="2" t="s">
        <v>34</v>
      </c>
      <c r="AY17" s="2" t="str">
        <f>TRIM(_xlfn.CONCAT(AP17," ",AQ17," ",AR17," ",AS17," ",AT17," ",AU17," ",AV17," ",AW17," ",AX17))</f>
        <v>C.D.B. Vallecas S.O.S</v>
      </c>
      <c r="AZ17" s="3">
        <v>0.12450231481481482</v>
      </c>
      <c r="BA17" s="3"/>
      <c r="BB17" s="2">
        <v>13</v>
      </c>
      <c r="BD17" s="2">
        <v>14</v>
      </c>
      <c r="BE17" s="2" t="s">
        <v>734</v>
      </c>
      <c r="BF17" s="2" t="s">
        <v>735</v>
      </c>
      <c r="BG17" s="2" t="s">
        <v>499</v>
      </c>
      <c r="BH17" s="2">
        <v>1992</v>
      </c>
      <c r="BI17" s="2" t="s">
        <v>2</v>
      </c>
      <c r="BJ17" s="2" t="s">
        <v>108</v>
      </c>
      <c r="BK17" s="2" t="s">
        <v>109</v>
      </c>
      <c r="BR17" s="2" t="str">
        <f>TRIM(_xlfn.CONCAT(BI17," ",BJ17," ",BK17," ",BL17," ",BM17," ",BN17," ",BO17," ",BP17," ",BQ17))</f>
        <v>Club A.C.N. Marisma</v>
      </c>
      <c r="BS17" s="3">
        <v>0.12512731481481482</v>
      </c>
      <c r="BT17" s="3"/>
      <c r="BU17" s="2">
        <v>3</v>
      </c>
    </row>
    <row r="18" spans="1:73" x14ac:dyDescent="0.6">
      <c r="A18" s="2">
        <v>15</v>
      </c>
      <c r="B18" s="2" t="s">
        <v>67</v>
      </c>
      <c r="C18" s="2" t="s">
        <v>68</v>
      </c>
      <c r="D18" s="2" t="s">
        <v>69</v>
      </c>
      <c r="E18" s="2">
        <v>2009</v>
      </c>
      <c r="F18" s="2" t="s">
        <v>2</v>
      </c>
      <c r="G18" s="2" t="s">
        <v>22</v>
      </c>
      <c r="H18" s="2" t="s">
        <v>23</v>
      </c>
      <c r="M18" s="2" t="str">
        <f>TRIM(_xlfn.CONCAT(F18," ",G18," ",H18," ",I18," ",J18," ",K18," ",L18))</f>
        <v>Club Natació Banyoles</v>
      </c>
      <c r="N18" s="3">
        <v>9.9293981481481483E-2</v>
      </c>
      <c r="O18" s="3">
        <v>9.9525462962962968E-2</v>
      </c>
      <c r="P18" s="2">
        <v>2</v>
      </c>
      <c r="R18" s="2">
        <v>15</v>
      </c>
      <c r="S18" s="2" t="s">
        <v>148</v>
      </c>
      <c r="T18" s="2" t="s">
        <v>343</v>
      </c>
      <c r="U18" s="2" t="s">
        <v>344</v>
      </c>
      <c r="V18" s="2">
        <v>2007</v>
      </c>
      <c r="W18" s="2" t="s">
        <v>2</v>
      </c>
      <c r="X18" s="2" t="s">
        <v>9</v>
      </c>
      <c r="Y18" s="2" t="s">
        <v>116</v>
      </c>
      <c r="AF18" s="2" t="str">
        <f>TRIM(_xlfn.CONCAT(W18," ",X18," ",Y18," ",Z18," ",AA18," ",AB18," ",AC18," ",AD18," ",AE18))</f>
        <v>Club Salvamento Vilagarcía</v>
      </c>
      <c r="AG18" s="3">
        <v>8.8703703703703701E-2</v>
      </c>
      <c r="AH18" s="3" t="s">
        <v>559</v>
      </c>
      <c r="AI18" s="2">
        <v>2</v>
      </c>
      <c r="AK18" s="2">
        <v>16</v>
      </c>
      <c r="AL18" s="2" t="s">
        <v>182</v>
      </c>
      <c r="AM18" s="2" t="s">
        <v>394</v>
      </c>
      <c r="AN18" s="2" t="s">
        <v>593</v>
      </c>
      <c r="AO18" s="2">
        <v>1986</v>
      </c>
      <c r="AP18" s="2" t="s">
        <v>567</v>
      </c>
      <c r="AQ18" s="2" t="s">
        <v>9</v>
      </c>
      <c r="AR18" s="2" t="s">
        <v>568</v>
      </c>
      <c r="AY18" s="2" t="str">
        <f>TRIM(_xlfn.CONCAT(AP18," ",AQ18," ",AR18," ",AS18," ",AT18," ",AU18," ",AV18," ",AW18," ",AX18))</f>
        <v>Escuela Salvamento Almendralejo</v>
      </c>
      <c r="AZ18" s="3">
        <v>0.12633101851851852</v>
      </c>
      <c r="BA18" s="3"/>
      <c r="BB18" s="2">
        <v>12</v>
      </c>
      <c r="BD18" s="2">
        <v>15</v>
      </c>
      <c r="BE18" s="2" t="s">
        <v>134</v>
      </c>
      <c r="BF18" s="2" t="s">
        <v>31</v>
      </c>
      <c r="BG18" s="2" t="s">
        <v>736</v>
      </c>
      <c r="BH18" s="2">
        <v>1994</v>
      </c>
      <c r="BI18" s="2" t="s">
        <v>2</v>
      </c>
      <c r="BJ18" s="2" t="s">
        <v>210</v>
      </c>
      <c r="BR18" s="2" t="str">
        <f>TRIM(_xlfn.CONCAT(BI18," ",BJ18," ",BK18," ",BL18," ",BM18," ",BN18," ",BO18," ",BP18," ",BQ18))</f>
        <v>Club Leucante</v>
      </c>
      <c r="BS18" s="3">
        <v>0.14886574074074074</v>
      </c>
      <c r="BT18" s="3"/>
    </row>
    <row r="19" spans="1:73" x14ac:dyDescent="0.6">
      <c r="A19" s="2">
        <v>16</v>
      </c>
      <c r="B19" s="2" t="s">
        <v>70</v>
      </c>
      <c r="C19" s="2" t="s">
        <v>71</v>
      </c>
      <c r="D19" s="2" t="s">
        <v>72</v>
      </c>
      <c r="E19" s="2">
        <v>2007</v>
      </c>
      <c r="F19" s="2" t="s">
        <v>2</v>
      </c>
      <c r="G19" s="2" t="s">
        <v>9</v>
      </c>
      <c r="H19" s="2" t="s">
        <v>27</v>
      </c>
      <c r="I19" s="2" t="s">
        <v>4</v>
      </c>
      <c r="J19" s="2" t="s">
        <v>51</v>
      </c>
      <c r="M19" s="2" t="str">
        <f>TRIM(_xlfn.CONCAT(F19," ",G19," ",H19," ",I19," ",J19," ",K19," ",L19))</f>
        <v>Club Salvamento y Natación Silla</v>
      </c>
      <c r="N19" s="3">
        <v>0.1000462962962963</v>
      </c>
      <c r="O19" s="3"/>
      <c r="P19" s="2">
        <v>1</v>
      </c>
      <c r="R19" s="2">
        <v>16</v>
      </c>
      <c r="S19" s="2" t="s">
        <v>182</v>
      </c>
      <c r="T19" s="2" t="s">
        <v>345</v>
      </c>
      <c r="U19" s="2" t="s">
        <v>344</v>
      </c>
      <c r="V19" s="2">
        <v>2004</v>
      </c>
      <c r="W19" s="2" t="s">
        <v>2</v>
      </c>
      <c r="X19" s="2" t="s">
        <v>93</v>
      </c>
      <c r="Y19" s="2" t="s">
        <v>63</v>
      </c>
      <c r="Z19" s="2" t="s">
        <v>167</v>
      </c>
      <c r="AA19" s="2" t="s">
        <v>168</v>
      </c>
      <c r="AF19" s="2" t="str">
        <f>TRIM(_xlfn.CONCAT(W19," ",X19," ",Y19," ",Z19," ",AA19," ",AB19," ",AC19," ",AD19," ",AE19))</f>
        <v>Club Playas de Castro Urdiales</v>
      </c>
      <c r="AG19" s="3">
        <v>8.8449074074074069E-2</v>
      </c>
      <c r="AH19" s="3"/>
      <c r="AI19" s="2">
        <v>1</v>
      </c>
      <c r="AK19" s="2">
        <v>17</v>
      </c>
      <c r="AL19" s="2" t="s">
        <v>346</v>
      </c>
      <c r="AM19" s="2" t="s">
        <v>595</v>
      </c>
      <c r="AN19" s="2" t="s">
        <v>69</v>
      </c>
      <c r="AO19" s="2">
        <v>1990</v>
      </c>
      <c r="AP19" s="2" t="s">
        <v>596</v>
      </c>
      <c r="AQ19" s="2">
        <v>27</v>
      </c>
      <c r="AR19" s="2" t="s">
        <v>597</v>
      </c>
      <c r="AY19" s="2" t="str">
        <f>TRIM(_xlfn.CONCAT(AP19," ",AQ19," ",AR19," ",AS19," ",AT19," ",AU19," ",AV19," ",AW19," ",AX19))</f>
        <v>C.D 27 Grados</v>
      </c>
      <c r="AZ19" s="3">
        <v>0.14184027777777777</v>
      </c>
      <c r="BA19" s="3"/>
      <c r="BB19" s="2">
        <v>11</v>
      </c>
      <c r="BD19" s="2">
        <v>16</v>
      </c>
      <c r="BE19" s="2" t="s">
        <v>737</v>
      </c>
      <c r="BF19" s="2" t="s">
        <v>351</v>
      </c>
      <c r="BG19" s="2" t="s">
        <v>413</v>
      </c>
      <c r="BH19" s="2">
        <v>1992</v>
      </c>
      <c r="BI19" s="2" t="s">
        <v>62</v>
      </c>
      <c r="BJ19" s="2" t="s">
        <v>63</v>
      </c>
      <c r="BK19" s="2" t="s">
        <v>9</v>
      </c>
      <c r="BL19" s="2" t="s">
        <v>27</v>
      </c>
      <c r="BM19" s="2" t="s">
        <v>28</v>
      </c>
      <c r="BR19" s="2" t="str">
        <f>TRIM(_xlfn.CONCAT(BI19," ",BJ19," ",BK19," ",BL19," ",BM19," ",BN19," ",BO19," ",BP19," ",BQ19))</f>
        <v>Alcarreño de Salvamento y Socorrismo</v>
      </c>
      <c r="BS19" s="3">
        <v>0.15724537037037037</v>
      </c>
      <c r="BT19" s="3"/>
      <c r="BU19" s="2">
        <v>1</v>
      </c>
    </row>
    <row r="20" spans="1:73" x14ac:dyDescent="0.6">
      <c r="A20" s="2">
        <v>17</v>
      </c>
      <c r="B20" s="2" t="s">
        <v>73</v>
      </c>
      <c r="C20" s="2" t="s">
        <v>52</v>
      </c>
      <c r="D20" s="2" t="s">
        <v>74</v>
      </c>
      <c r="E20" s="2">
        <v>2009</v>
      </c>
      <c r="F20" s="2" t="s">
        <v>2</v>
      </c>
      <c r="G20" s="2" t="s">
        <v>4</v>
      </c>
      <c r="H20" s="2" t="s">
        <v>27</v>
      </c>
      <c r="I20" s="2" t="s">
        <v>9</v>
      </c>
      <c r="J20" s="2" t="s">
        <v>75</v>
      </c>
      <c r="M20" s="2" t="str">
        <f>TRIM(_xlfn.CONCAT(F20," ",G20," ",H20," ",I20," ",J20," ",K20," ",L20))</f>
        <v>Club Natación y Salvamento Albasit</v>
      </c>
      <c r="N20" s="3">
        <v>0.10012731481481481</v>
      </c>
      <c r="O20" s="3"/>
      <c r="R20" s="2">
        <v>17</v>
      </c>
      <c r="S20" s="2" t="s">
        <v>346</v>
      </c>
      <c r="T20" s="2" t="s">
        <v>52</v>
      </c>
      <c r="U20" s="2" t="s">
        <v>347</v>
      </c>
      <c r="V20" s="2">
        <v>2003</v>
      </c>
      <c r="W20" s="2" t="s">
        <v>2</v>
      </c>
      <c r="X20" s="2" t="s">
        <v>9</v>
      </c>
      <c r="Y20" s="2" t="s">
        <v>27</v>
      </c>
      <c r="Z20" s="2" t="s">
        <v>4</v>
      </c>
      <c r="AA20" s="2" t="s">
        <v>51</v>
      </c>
      <c r="AF20" s="2" t="str">
        <f>TRIM(_xlfn.CONCAT(W20," ",X20," ",Y20," ",Z20," ",AA20," ",AB20," ",AC20," ",AD20," ",AE20))</f>
        <v>Club Salvamento y Natación Silla</v>
      </c>
      <c r="AG20" s="3">
        <v>8.9155092592592591E-2</v>
      </c>
      <c r="AH20" s="3"/>
      <c r="AK20" s="2">
        <v>18</v>
      </c>
      <c r="AL20" s="2" t="s">
        <v>59</v>
      </c>
      <c r="AM20" s="2" t="s">
        <v>14</v>
      </c>
      <c r="AN20" s="2" t="s">
        <v>156</v>
      </c>
      <c r="AO20" s="2">
        <v>1986</v>
      </c>
      <c r="AP20" s="2" t="s">
        <v>2</v>
      </c>
      <c r="AQ20" s="2" t="s">
        <v>3</v>
      </c>
      <c r="AR20" s="2" t="s">
        <v>33</v>
      </c>
      <c r="AS20" s="2" t="s">
        <v>34</v>
      </c>
      <c r="AY20" s="2" t="str">
        <f>TRIM(_xlfn.CONCAT(AP20," ",AQ20," ",AR20," ",AS20," ",AT20," ",AU20," ",AV20," ",AW20," ",AX20))</f>
        <v>Club Deportivo Oca S.O.S</v>
      </c>
      <c r="AZ20" s="3">
        <v>0.16895833333333332</v>
      </c>
      <c r="BA20" s="3"/>
      <c r="BB20" s="2">
        <v>10</v>
      </c>
      <c r="BD20" s="2">
        <v>17</v>
      </c>
      <c r="BE20" s="2" t="s">
        <v>738</v>
      </c>
      <c r="BF20" s="2" t="s">
        <v>220</v>
      </c>
      <c r="BG20" s="2" t="s">
        <v>439</v>
      </c>
      <c r="BH20" s="2">
        <v>1993</v>
      </c>
      <c r="BI20" s="2" t="s">
        <v>2</v>
      </c>
      <c r="BJ20" s="2" t="s">
        <v>3</v>
      </c>
      <c r="BK20" s="2" t="s">
        <v>33</v>
      </c>
      <c r="BL20" s="2" t="s">
        <v>34</v>
      </c>
      <c r="BR20" s="2" t="str">
        <f>TRIM(_xlfn.CONCAT(BI20," ",BJ20," ",BK20," ",BL20," ",BM20," ",BN20," ",BO20," ",BP20," ",BQ20))</f>
        <v>Club Deportivo Oca S.O.S</v>
      </c>
      <c r="BS20" s="3" t="s">
        <v>264</v>
      </c>
      <c r="BT20" s="3"/>
    </row>
    <row r="21" spans="1:73" x14ac:dyDescent="0.6">
      <c r="A21" s="2">
        <v>18</v>
      </c>
      <c r="B21" s="2" t="s">
        <v>76</v>
      </c>
      <c r="C21" s="2" t="s">
        <v>77</v>
      </c>
      <c r="D21" s="2" t="s">
        <v>78</v>
      </c>
      <c r="E21" s="2">
        <v>2009</v>
      </c>
      <c r="F21" s="2" t="s">
        <v>79</v>
      </c>
      <c r="G21" s="2" t="s">
        <v>80</v>
      </c>
      <c r="H21" s="2" t="s">
        <v>4</v>
      </c>
      <c r="I21" s="2" t="s">
        <v>81</v>
      </c>
      <c r="M21" s="2" t="str">
        <f>TRIM(_xlfn.CONCAT(F21," ",G21," ",H21," ",I21," ",J21," ",K21," ",L21))</f>
        <v>Asociación Deportiva Natación Cáceres</v>
      </c>
      <c r="N21" s="3">
        <v>0.10079861111111112</v>
      </c>
      <c r="O21" s="3"/>
      <c r="R21" s="2">
        <v>18</v>
      </c>
      <c r="S21" s="2" t="s">
        <v>59</v>
      </c>
      <c r="T21" s="2" t="s">
        <v>348</v>
      </c>
      <c r="U21" s="2" t="s">
        <v>349</v>
      </c>
      <c r="V21" s="2">
        <v>2006</v>
      </c>
      <c r="W21" s="2" t="s">
        <v>2</v>
      </c>
      <c r="X21" s="2" t="s">
        <v>88</v>
      </c>
      <c r="Y21" s="2" t="s">
        <v>43</v>
      </c>
      <c r="AF21" s="2" t="str">
        <f>TRIM(_xlfn.CONCAT(W21," ",X21," ",Y21," ",Z21," ",AA21," ",AB21," ",AC21," ",AD21," ",AE21))</f>
        <v>Club Laguna SOS</v>
      </c>
      <c r="AG21" s="3">
        <v>8.9571759259259254E-2</v>
      </c>
      <c r="AH21" s="3"/>
      <c r="AK21" s="2">
        <v>19</v>
      </c>
      <c r="AL21" s="2" t="s">
        <v>350</v>
      </c>
      <c r="AM21" s="2" t="s">
        <v>598</v>
      </c>
      <c r="AN21" s="2" t="s">
        <v>107</v>
      </c>
      <c r="AO21" s="2">
        <v>1981</v>
      </c>
      <c r="AP21" s="2" t="s">
        <v>2</v>
      </c>
      <c r="AQ21" s="2" t="s">
        <v>3</v>
      </c>
      <c r="AR21" s="2" t="s">
        <v>535</v>
      </c>
      <c r="AS21" s="2" t="s">
        <v>63</v>
      </c>
      <c r="AT21" s="2" t="s">
        <v>536</v>
      </c>
      <c r="AY21" s="2" t="str">
        <f>TRIM(_xlfn.CONCAT(AP21," ",AQ21," ",AR21," ",AS21," ",AT21," ",AU21," ",AV21," ",AW21," ",AX21))</f>
        <v>Club Deportivo Sirenas de Catarroja</v>
      </c>
      <c r="AZ21" s="3">
        <v>0.11716435185185185</v>
      </c>
      <c r="BA21" s="3"/>
      <c r="BB21" s="2">
        <v>20</v>
      </c>
      <c r="BD21" s="2">
        <v>18</v>
      </c>
      <c r="BE21" s="2" t="s">
        <v>151</v>
      </c>
      <c r="BF21" s="2" t="s">
        <v>739</v>
      </c>
      <c r="BG21" s="2" t="s">
        <v>279</v>
      </c>
      <c r="BH21" s="2">
        <v>1994</v>
      </c>
      <c r="BI21" s="2" t="s">
        <v>171</v>
      </c>
      <c r="BJ21" s="2" t="s">
        <v>172</v>
      </c>
      <c r="BK21" s="2" t="s">
        <v>9</v>
      </c>
      <c r="BR21" s="2" t="str">
        <f>TRIM(_xlfn.CONCAT(BI21," ",BJ21," ",BK21," ",BL21," ",BM21," ",BN21," ",BO21," ",BP21," ",BQ21))</f>
        <v>C.D.E Pacífico Salvamento</v>
      </c>
      <c r="BS21" s="3" t="s">
        <v>264</v>
      </c>
      <c r="BT21" s="3"/>
    </row>
    <row r="22" spans="1:73" x14ac:dyDescent="0.6">
      <c r="A22" s="2">
        <v>19</v>
      </c>
      <c r="B22" s="2" t="s">
        <v>82</v>
      </c>
      <c r="C22" s="2" t="s">
        <v>83</v>
      </c>
      <c r="D22" s="2" t="s">
        <v>84</v>
      </c>
      <c r="E22" s="2">
        <v>2008</v>
      </c>
      <c r="F22" s="2" t="s">
        <v>2</v>
      </c>
      <c r="G22" s="2" t="s">
        <v>22</v>
      </c>
      <c r="H22" s="2" t="s">
        <v>23</v>
      </c>
      <c r="M22" s="2" t="str">
        <f>TRIM(_xlfn.CONCAT(F22," ",G22," ",H22," ",I22," ",J22," ",K22," ",L22))</f>
        <v>Club Natació Banyoles</v>
      </c>
      <c r="N22" s="3">
        <v>0.10092592592592593</v>
      </c>
      <c r="O22" s="3"/>
      <c r="R22" s="2">
        <v>19</v>
      </c>
      <c r="S22" s="2" t="s">
        <v>350</v>
      </c>
      <c r="T22" s="2" t="s">
        <v>351</v>
      </c>
      <c r="U22" s="2" t="s">
        <v>352</v>
      </c>
      <c r="V22" s="2">
        <v>2008</v>
      </c>
      <c r="W22" s="2" t="s">
        <v>62</v>
      </c>
      <c r="X22" s="2" t="s">
        <v>63</v>
      </c>
      <c r="Y22" s="2" t="s">
        <v>9</v>
      </c>
      <c r="Z22" s="2" t="s">
        <v>27</v>
      </c>
      <c r="AA22" s="2" t="s">
        <v>28</v>
      </c>
      <c r="AF22" s="2" t="str">
        <f>TRIM(_xlfn.CONCAT(W22," ",X22," ",Y22," ",Z22," ",AA22," ",AB22," ",AC22," ",AD22," ",AE22))</f>
        <v>Alcarreño de Salvamento y Socorrismo</v>
      </c>
      <c r="AG22" s="3">
        <v>8.9664351851851856E-2</v>
      </c>
      <c r="AH22" s="3"/>
      <c r="AK22" s="2">
        <v>20</v>
      </c>
      <c r="AL22" s="2" t="s">
        <v>432</v>
      </c>
      <c r="AM22" s="2" t="s">
        <v>599</v>
      </c>
      <c r="AN22" s="2" t="s">
        <v>688</v>
      </c>
      <c r="AO22" s="2">
        <v>1982</v>
      </c>
      <c r="AP22" s="2" t="s">
        <v>2</v>
      </c>
      <c r="AQ22" s="2" t="s">
        <v>4</v>
      </c>
      <c r="AR22" s="2" t="s">
        <v>585</v>
      </c>
      <c r="AS22" s="2" t="s">
        <v>586</v>
      </c>
      <c r="AT22" s="2" t="s">
        <v>587</v>
      </c>
      <c r="AY22" s="2" t="str">
        <f>TRIM(_xlfn.CONCAT(AP22," ",AQ22," ",AR22," ",AS22," ",AT22," ",AU22," ",AV22," ",AW22," ",AX22))</f>
        <v>Club Natación Martiánez Coral Hotels</v>
      </c>
      <c r="AZ22" s="3">
        <v>0.12038194444444444</v>
      </c>
      <c r="BA22" s="3"/>
      <c r="BB22" s="2">
        <v>18</v>
      </c>
      <c r="BD22" s="2">
        <v>1</v>
      </c>
      <c r="BE22" s="2" t="s">
        <v>141</v>
      </c>
      <c r="BF22" s="2" t="s">
        <v>202</v>
      </c>
      <c r="BG22" s="2" t="s">
        <v>874</v>
      </c>
      <c r="BH22" s="2">
        <v>1988</v>
      </c>
      <c r="BI22" s="2" t="s">
        <v>2</v>
      </c>
      <c r="BJ22" s="2" t="s">
        <v>4</v>
      </c>
      <c r="BK22" s="2" t="s">
        <v>585</v>
      </c>
      <c r="BL22" s="2" t="s">
        <v>586</v>
      </c>
      <c r="BM22" s="2" t="s">
        <v>587</v>
      </c>
      <c r="BR22" s="2" t="str">
        <f>TRIM(_xlfn.CONCAT(BI22," ",BJ22," ",BK22," ",BL22," ",BM22," ",BN22," ",BO22," ",BP22," ",BQ22))</f>
        <v>Club Natación Martiánez Coral Hotels</v>
      </c>
      <c r="BS22" s="3">
        <v>8.8460648148148149E-2</v>
      </c>
      <c r="BT22" s="3"/>
      <c r="BU22" s="2">
        <v>20</v>
      </c>
    </row>
    <row r="23" spans="1:73" x14ac:dyDescent="0.6">
      <c r="A23" s="2">
        <v>20</v>
      </c>
      <c r="B23" s="2" t="s">
        <v>85</v>
      </c>
      <c r="C23" s="2" t="s">
        <v>86</v>
      </c>
      <c r="D23" s="2" t="s">
        <v>87</v>
      </c>
      <c r="E23" s="2">
        <v>2000</v>
      </c>
      <c r="F23" s="2" t="s">
        <v>2</v>
      </c>
      <c r="G23" s="2" t="s">
        <v>88</v>
      </c>
      <c r="H23" s="2" t="s">
        <v>43</v>
      </c>
      <c r="M23" s="2" t="str">
        <f>TRIM(_xlfn.CONCAT(F23," ",G23," ",H23," ",I23," ",J23," ",K23," ",L23))</f>
        <v>Club Laguna SOS</v>
      </c>
      <c r="N23" s="3">
        <v>0.10112268518518519</v>
      </c>
      <c r="O23" s="3"/>
      <c r="R23" s="2">
        <v>20</v>
      </c>
      <c r="S23" s="2" t="s">
        <v>432</v>
      </c>
      <c r="T23" s="2" t="s">
        <v>353</v>
      </c>
      <c r="U23" s="2" t="s">
        <v>354</v>
      </c>
      <c r="V23" s="2">
        <v>2005</v>
      </c>
      <c r="W23" s="2" t="s">
        <v>355</v>
      </c>
      <c r="X23" s="2" t="s">
        <v>356</v>
      </c>
      <c r="Y23" s="2" t="s">
        <v>357</v>
      </c>
      <c r="Z23" s="2" t="s">
        <v>358</v>
      </c>
      <c r="AA23" s="2" t="s">
        <v>108</v>
      </c>
      <c r="AB23" s="2" t="s">
        <v>109</v>
      </c>
      <c r="AF23" s="2" t="str">
        <f>TRIM(_xlfn.CONCAT(W23," ",X23," ",Y23," ",Z23," ",AA23," ",AB23," ",AC23," ",AD23," ",AE23))</f>
        <v>C l u b A.C.N. Marisma</v>
      </c>
      <c r="AG23" s="3">
        <v>8.9733796296296298E-2</v>
      </c>
      <c r="AH23" s="3"/>
      <c r="AK23" s="2">
        <v>21</v>
      </c>
      <c r="AL23" s="2" t="s">
        <v>433</v>
      </c>
      <c r="AM23" s="2" t="s">
        <v>71</v>
      </c>
      <c r="AN23" s="2" t="s">
        <v>21</v>
      </c>
      <c r="AO23" s="2">
        <v>1982</v>
      </c>
      <c r="AP23" s="2" t="s">
        <v>62</v>
      </c>
      <c r="AQ23" s="2" t="s">
        <v>63</v>
      </c>
      <c r="AR23" s="2" t="s">
        <v>9</v>
      </c>
      <c r="AS23" s="2" t="s">
        <v>27</v>
      </c>
      <c r="AT23" s="2" t="s">
        <v>28</v>
      </c>
      <c r="AY23" s="2" t="str">
        <f>TRIM(_xlfn.CONCAT(AP23," ",AQ23," ",AR23," ",AS23," ",AT23," ",AU23," ",AV23," ",AW23," ",AX23))</f>
        <v>Alcarreño de Salvamento y Socorrismo</v>
      </c>
      <c r="AZ23" s="3">
        <v>0.12377314814814815</v>
      </c>
      <c r="BA23" s="3"/>
      <c r="BB23" s="2">
        <v>16</v>
      </c>
      <c r="BD23" s="2">
        <v>2</v>
      </c>
      <c r="BE23" s="2" t="s">
        <v>462</v>
      </c>
      <c r="BF23" s="2" t="s">
        <v>537</v>
      </c>
      <c r="BG23" s="2" t="s">
        <v>740</v>
      </c>
      <c r="BH23" s="2">
        <v>1988</v>
      </c>
      <c r="BI23" s="2" t="s">
        <v>466</v>
      </c>
      <c r="BJ23" s="2" t="s">
        <v>467</v>
      </c>
      <c r="BK23" s="2" t="s">
        <v>34</v>
      </c>
      <c r="BR23" s="2" t="str">
        <f>TRIM(_xlfn.CONCAT(BI23," ",BJ23," ",BK23," ",BL23," ",BM23," ",BN23," ",BO23," ",BP23," ",BQ23))</f>
        <v>C.D.B. Vallecas S.O.S</v>
      </c>
      <c r="BS23" s="3">
        <v>9.8090277777777776E-2</v>
      </c>
      <c r="BT23" s="3"/>
      <c r="BU23" s="2">
        <v>18</v>
      </c>
    </row>
    <row r="24" spans="1:73" x14ac:dyDescent="0.6">
      <c r="A24" s="2">
        <v>21</v>
      </c>
      <c r="B24" s="2" t="s">
        <v>89</v>
      </c>
      <c r="C24" s="2" t="s">
        <v>90</v>
      </c>
      <c r="D24" s="2" t="s">
        <v>54</v>
      </c>
      <c r="E24" s="2">
        <v>2005</v>
      </c>
      <c r="F24" s="2" t="s">
        <v>91</v>
      </c>
      <c r="G24" s="2" t="s">
        <v>92</v>
      </c>
      <c r="H24" s="2" t="s">
        <v>93</v>
      </c>
      <c r="I24" s="2" t="s">
        <v>63</v>
      </c>
      <c r="J24" s="2" t="s">
        <v>94</v>
      </c>
      <c r="M24" s="2" t="str">
        <f>TRIM(_xlfn.CONCAT(F24," ",G24," ",H24," ",I24," ",J24," ",K24," ",L24))</f>
        <v>Sos Pielagos Playas de Cantabria</v>
      </c>
      <c r="N24" s="3">
        <v>0.10072916666666666</v>
      </c>
      <c r="O24" s="3"/>
      <c r="R24" s="2">
        <v>21</v>
      </c>
      <c r="S24" s="2" t="s">
        <v>433</v>
      </c>
      <c r="T24" s="2" t="s">
        <v>359</v>
      </c>
      <c r="U24" s="2" t="s">
        <v>360</v>
      </c>
      <c r="V24" s="2">
        <v>2006</v>
      </c>
      <c r="W24" s="2" t="s">
        <v>2</v>
      </c>
      <c r="X24" s="2" t="s">
        <v>3</v>
      </c>
      <c r="Y24" s="2" t="s">
        <v>197</v>
      </c>
      <c r="Z24" s="2" t="s">
        <v>198</v>
      </c>
      <c r="AF24" s="2" t="str">
        <f>TRIM(_xlfn.CONCAT(W24," ",X24," ",Y24," ",Z24," ",AA24," ",AB24," ",AC24," ",AD24," ",AE24))</f>
        <v>Club Deportivo Talasa Torremolinos</v>
      </c>
      <c r="AG24" s="3">
        <v>8.9745370370370364E-2</v>
      </c>
      <c r="AH24" s="3"/>
      <c r="AK24" s="2">
        <v>22</v>
      </c>
      <c r="AL24" s="2" t="s">
        <v>361</v>
      </c>
      <c r="AM24" s="2" t="s">
        <v>601</v>
      </c>
      <c r="AN24" s="2" t="s">
        <v>600</v>
      </c>
      <c r="AO24" s="2">
        <v>1985</v>
      </c>
      <c r="AP24" s="2" t="s">
        <v>171</v>
      </c>
      <c r="AQ24" s="2" t="s">
        <v>602</v>
      </c>
      <c r="AR24" s="2" t="s">
        <v>603</v>
      </c>
      <c r="AY24" s="2" t="str">
        <f>TRIM(_xlfn.CONCAT(AP24," ",AQ24," ",AR24," ",AS24," ",AT24," ",AU24," ",AV24," ",AW24," ",AX24))</f>
        <v>C.D.E Máster Arganda</v>
      </c>
      <c r="AZ24" s="3">
        <v>0.12682870370370369</v>
      </c>
      <c r="BA24" s="3"/>
      <c r="BB24" s="2">
        <v>14</v>
      </c>
      <c r="BD24" s="2">
        <v>3</v>
      </c>
      <c r="BE24" s="2" t="s">
        <v>741</v>
      </c>
      <c r="BF24" s="2" t="s">
        <v>742</v>
      </c>
      <c r="BG24" s="2" t="s">
        <v>377</v>
      </c>
      <c r="BH24" s="2">
        <v>1989</v>
      </c>
      <c r="BI24" s="2" t="s">
        <v>2</v>
      </c>
      <c r="BJ24" s="2" t="s">
        <v>4</v>
      </c>
      <c r="BK24" s="2" t="s">
        <v>43</v>
      </c>
      <c r="BL24" s="2" t="s">
        <v>153</v>
      </c>
      <c r="BR24" s="2" t="str">
        <f>TRIM(_xlfn.CONCAT(BI24," ",BJ24," ",BK24," ",BL24," ",BM24," ",BN24," ",BO24," ",BP24," ",BQ24))</f>
        <v>Club Natación SOS Bétera</v>
      </c>
      <c r="BS24" s="3">
        <v>9.8599537037037041E-2</v>
      </c>
      <c r="BT24" s="3"/>
      <c r="BU24" s="2">
        <v>16</v>
      </c>
    </row>
    <row r="25" spans="1:73" x14ac:dyDescent="0.6">
      <c r="A25" s="2">
        <v>22</v>
      </c>
      <c r="B25" s="2" t="s">
        <v>95</v>
      </c>
      <c r="C25" s="2" t="s">
        <v>96</v>
      </c>
      <c r="D25" s="2" t="s">
        <v>97</v>
      </c>
      <c r="E25" s="2">
        <v>2009</v>
      </c>
      <c r="F25" s="2" t="s">
        <v>2</v>
      </c>
      <c r="G25" s="2" t="s">
        <v>4</v>
      </c>
      <c r="H25" s="2" t="s">
        <v>27</v>
      </c>
      <c r="I25" s="2" t="s">
        <v>9</v>
      </c>
      <c r="J25" s="2" t="s">
        <v>98</v>
      </c>
      <c r="K25" s="2" t="s">
        <v>99</v>
      </c>
      <c r="M25" s="2" t="str">
        <f>TRIM(_xlfn.CONCAT(F25," ",G25," ",H25," ",I25," ",J25," ",K25," ",L25))</f>
        <v>Club Natación y Salvamento Oriol Imperial</v>
      </c>
      <c r="N25" s="3">
        <v>0.10105324074074074</v>
      </c>
      <c r="O25" s="3"/>
      <c r="R25" s="2">
        <v>22</v>
      </c>
      <c r="S25" s="2" t="s">
        <v>361</v>
      </c>
      <c r="T25" s="2" t="s">
        <v>362</v>
      </c>
      <c r="U25" s="2" t="s">
        <v>363</v>
      </c>
      <c r="V25" s="2">
        <v>2003</v>
      </c>
      <c r="W25" s="2" t="s">
        <v>2</v>
      </c>
      <c r="X25" s="2" t="s">
        <v>3</v>
      </c>
      <c r="Y25" s="2" t="s">
        <v>4</v>
      </c>
      <c r="Z25" s="2" t="s">
        <v>5</v>
      </c>
      <c r="AF25" s="2" t="str">
        <f>TRIM(_xlfn.CONCAT(W25," ",X25," ",Y25," ",Z25," ",AA25," ",AB25," ",AC25," ",AD25," ",AE25))</f>
        <v>Club Deportivo Natación Aldaia</v>
      </c>
      <c r="AG25" s="3">
        <v>8.9826388888888886E-2</v>
      </c>
      <c r="AH25" s="3"/>
      <c r="AK25" s="2">
        <v>23</v>
      </c>
      <c r="AL25" s="2" t="s">
        <v>267</v>
      </c>
      <c r="AM25" s="2" t="s">
        <v>604</v>
      </c>
      <c r="AN25" s="2" t="s">
        <v>37</v>
      </c>
      <c r="AO25" s="2">
        <v>1982</v>
      </c>
      <c r="AP25" s="2" t="s">
        <v>2</v>
      </c>
      <c r="AQ25" s="2" t="s">
        <v>22</v>
      </c>
      <c r="AR25" s="2" t="s">
        <v>104</v>
      </c>
      <c r="AS25" s="2" t="s">
        <v>105</v>
      </c>
      <c r="AY25" s="2" t="str">
        <f>TRIM(_xlfn.CONCAT(AP25," ",AQ25," ",AR25," ",AS25," ",AT25," ",AU25," ",AV25," ",AW25," ",AX25))</f>
        <v>Club Natació Reus Ploms</v>
      </c>
      <c r="AZ25" s="3">
        <v>0.12718750000000001</v>
      </c>
      <c r="BA25" s="3"/>
      <c r="BB25" s="2">
        <v>13</v>
      </c>
      <c r="BD25" s="2">
        <v>4</v>
      </c>
      <c r="BE25" s="2" t="s">
        <v>186</v>
      </c>
      <c r="BF25" s="2" t="s">
        <v>875</v>
      </c>
      <c r="BG25" s="2" t="s">
        <v>743</v>
      </c>
      <c r="BH25" s="2">
        <v>1989</v>
      </c>
      <c r="BI25" s="2" t="s">
        <v>171</v>
      </c>
      <c r="BJ25" s="2" t="s">
        <v>172</v>
      </c>
      <c r="BK25" s="2" t="s">
        <v>9</v>
      </c>
      <c r="BR25" s="2" t="str">
        <f>TRIM(_xlfn.CONCAT(BI25," ",BJ25," ",BK25," ",BL25," ",BM25," ",BN25," ",BO25," ",BP25," ",BQ25))</f>
        <v>C.D.E Pacífico Salvamento</v>
      </c>
      <c r="BS25" s="3">
        <v>0.10087962962962962</v>
      </c>
      <c r="BT25" s="3"/>
      <c r="BU25" s="2">
        <v>14</v>
      </c>
    </row>
    <row r="26" spans="1:73" x14ac:dyDescent="0.6">
      <c r="A26" s="2">
        <v>23</v>
      </c>
      <c r="B26" s="2" t="s">
        <v>100</v>
      </c>
      <c r="C26" s="2" t="s">
        <v>101</v>
      </c>
      <c r="D26" s="2" t="s">
        <v>21</v>
      </c>
      <c r="E26" s="2">
        <v>2008</v>
      </c>
      <c r="F26" s="2" t="s">
        <v>41</v>
      </c>
      <c r="G26" s="2" t="s">
        <v>42</v>
      </c>
      <c r="H26" s="2" t="s">
        <v>43</v>
      </c>
      <c r="I26" s="2" t="s">
        <v>44</v>
      </c>
      <c r="J26" s="2" t="s">
        <v>45</v>
      </c>
      <c r="M26" s="2" t="str">
        <f>TRIM(_xlfn.CONCAT(F26," ",G26," ",H26," ",I26," ",J26," ",K26," ",L26))</f>
        <v>C. D. SOS La Bañeza</v>
      </c>
      <c r="N26" s="3">
        <v>0.10133101851851851</v>
      </c>
      <c r="O26" s="3"/>
      <c r="R26" s="2">
        <v>23</v>
      </c>
      <c r="S26" s="2" t="s">
        <v>267</v>
      </c>
      <c r="T26" s="2" t="s">
        <v>364</v>
      </c>
      <c r="U26" s="2" t="s">
        <v>365</v>
      </c>
      <c r="V26" s="2">
        <v>2007</v>
      </c>
      <c r="W26" s="2" t="s">
        <v>2</v>
      </c>
      <c r="X26" s="2" t="s">
        <v>22</v>
      </c>
      <c r="Y26" s="2" t="s">
        <v>23</v>
      </c>
      <c r="AF26" s="2" t="str">
        <f>TRIM(_xlfn.CONCAT(W26," ",X26," ",Y26," ",Z26," ",AA26," ",AB26," ",AC26," ",AD26," ",AE26))</f>
        <v>Club Natació Banyoles</v>
      </c>
      <c r="AG26" s="3">
        <v>8.9826388888888886E-2</v>
      </c>
      <c r="AH26" s="3"/>
      <c r="AK26" s="2">
        <v>24</v>
      </c>
      <c r="AL26" s="2" t="s">
        <v>6</v>
      </c>
      <c r="AM26" s="2" t="s">
        <v>31</v>
      </c>
      <c r="AN26" s="2" t="s">
        <v>605</v>
      </c>
      <c r="AO26" s="2">
        <v>1985</v>
      </c>
      <c r="AP26" s="2" t="s">
        <v>62</v>
      </c>
      <c r="AQ26" s="2" t="s">
        <v>63</v>
      </c>
      <c r="AR26" s="2" t="s">
        <v>9</v>
      </c>
      <c r="AS26" s="2" t="s">
        <v>27</v>
      </c>
      <c r="AT26" s="2" t="s">
        <v>28</v>
      </c>
      <c r="AY26" s="2" t="str">
        <f>TRIM(_xlfn.CONCAT(AP26," ",AQ26," ",AR26," ",AS26," ",AT26," ",AU26," ",AV26," ",AW26," ",AX26))</f>
        <v>Alcarreño de Salvamento y Socorrismo</v>
      </c>
      <c r="AZ26" s="3">
        <v>0.12916666666666668</v>
      </c>
      <c r="BA26" s="3"/>
      <c r="BB26" s="2">
        <v>12</v>
      </c>
      <c r="BD26" s="2">
        <v>5</v>
      </c>
      <c r="BE26" s="2" t="s">
        <v>744</v>
      </c>
      <c r="BF26" s="2" t="s">
        <v>77</v>
      </c>
      <c r="BG26" s="2" t="s">
        <v>745</v>
      </c>
      <c r="BH26" s="2">
        <v>1990</v>
      </c>
      <c r="BI26" s="2" t="s">
        <v>572</v>
      </c>
      <c r="BJ26" s="2" t="s">
        <v>573</v>
      </c>
      <c r="BK26" s="2" t="s">
        <v>574</v>
      </c>
      <c r="BL26" s="2" t="s">
        <v>575</v>
      </c>
      <c r="BR26" s="2" t="str">
        <f>TRIM(_xlfn.CONCAT(BI26," ",BJ26," ",BK26," ",BL26," ",BM26," ",BN26," ",BO26," ",BP26," ",BQ26))</f>
        <v>Loredo Surf Life Saving</v>
      </c>
      <c r="BS26" s="3">
        <v>0.10159722222222223</v>
      </c>
      <c r="BT26" s="3"/>
      <c r="BU26" s="2">
        <v>13</v>
      </c>
    </row>
    <row r="27" spans="1:73" x14ac:dyDescent="0.6">
      <c r="A27" s="2">
        <v>24</v>
      </c>
      <c r="B27" s="2" t="s">
        <v>102</v>
      </c>
      <c r="C27" s="2" t="s">
        <v>6</v>
      </c>
      <c r="D27" s="2" t="s">
        <v>103</v>
      </c>
      <c r="E27" s="2">
        <v>2010</v>
      </c>
      <c r="F27" s="2" t="s">
        <v>2</v>
      </c>
      <c r="G27" s="2" t="s">
        <v>22</v>
      </c>
      <c r="H27" s="2" t="s">
        <v>104</v>
      </c>
      <c r="I27" s="2" t="s">
        <v>105</v>
      </c>
      <c r="M27" s="2" t="str">
        <f>TRIM(_xlfn.CONCAT(F27," ",G27," ",H27," ",I27," ",J27," ",K27," ",L27))</f>
        <v>Club Natació Reus Ploms</v>
      </c>
      <c r="N27" s="3">
        <v>0.10144675925925926</v>
      </c>
      <c r="O27" s="3"/>
      <c r="R27" s="2">
        <v>24</v>
      </c>
      <c r="S27" s="2" t="s">
        <v>6</v>
      </c>
      <c r="T27" s="2" t="s">
        <v>134</v>
      </c>
      <c r="U27" s="2" t="s">
        <v>366</v>
      </c>
      <c r="V27" s="2">
        <v>2008</v>
      </c>
      <c r="W27" s="2" t="s">
        <v>2</v>
      </c>
      <c r="X27" s="2" t="s">
        <v>4</v>
      </c>
      <c r="Y27" s="2" t="s">
        <v>27</v>
      </c>
      <c r="Z27" s="2" t="s">
        <v>9</v>
      </c>
      <c r="AA27" s="2" t="s">
        <v>98</v>
      </c>
      <c r="AB27" s="2" t="s">
        <v>99</v>
      </c>
      <c r="AF27" s="2" t="str">
        <f>TRIM(_xlfn.CONCAT(W27," ",X27," ",Y27," ",Z27," ",AA27," ",AB27," ",AC27," ",AD27," ",AE27))</f>
        <v>Club Natación y Salvamento Oriol Imperial</v>
      </c>
      <c r="AG27" s="3">
        <v>8.9826388888888886E-2</v>
      </c>
      <c r="AH27" s="3"/>
      <c r="AK27" s="2">
        <v>25</v>
      </c>
      <c r="AL27" s="2" t="s">
        <v>367</v>
      </c>
      <c r="AM27" s="2" t="s">
        <v>606</v>
      </c>
      <c r="AN27" s="2" t="s">
        <v>607</v>
      </c>
      <c r="AO27" s="2">
        <v>1981</v>
      </c>
      <c r="AP27" s="2" t="s">
        <v>2</v>
      </c>
      <c r="AQ27" s="2" t="s">
        <v>4</v>
      </c>
      <c r="AR27" s="2" t="s">
        <v>43</v>
      </c>
      <c r="AS27" s="2" t="s">
        <v>153</v>
      </c>
      <c r="AY27" s="2" t="str">
        <f>TRIM(_xlfn.CONCAT(AP27," ",AQ27," ",AR27," ",AS27," ",AT27," ",AU27," ",AV27," ",AW27," ",AX27))</f>
        <v>Club Natación SOS Bétera</v>
      </c>
      <c r="AZ27" s="3">
        <v>0.13847222222222222</v>
      </c>
      <c r="BA27" s="3"/>
      <c r="BB27" s="2">
        <v>11</v>
      </c>
      <c r="BD27" s="2">
        <v>6</v>
      </c>
      <c r="BE27" s="2" t="s">
        <v>746</v>
      </c>
      <c r="BF27" s="2" t="s">
        <v>453</v>
      </c>
      <c r="BG27" s="2" t="s">
        <v>747</v>
      </c>
      <c r="BH27" s="2">
        <v>1989</v>
      </c>
      <c r="BI27" s="2" t="s">
        <v>2</v>
      </c>
      <c r="BJ27" s="2" t="s">
        <v>242</v>
      </c>
      <c r="BK27" s="2" t="s">
        <v>243</v>
      </c>
      <c r="BR27" s="2" t="str">
        <f>TRIM(_xlfn.CONCAT(BI27," ",BJ27," ",BK27," ",BL27," ",BM27," ",BN27," ",BO27," ",BP27," ",BQ27))</f>
        <v>Club Acuático Umia</v>
      </c>
      <c r="BS27" s="3">
        <v>0.10494212962962964</v>
      </c>
      <c r="BT27" s="3"/>
      <c r="BU27" s="2">
        <v>12</v>
      </c>
    </row>
    <row r="28" spans="1:73" x14ac:dyDescent="0.6">
      <c r="A28" s="2">
        <v>25</v>
      </c>
      <c r="B28" s="2" t="s">
        <v>106</v>
      </c>
      <c r="C28" s="2" t="s">
        <v>290</v>
      </c>
      <c r="D28" s="2" t="s">
        <v>107</v>
      </c>
      <c r="E28" s="2">
        <v>2007</v>
      </c>
      <c r="F28" s="2" t="s">
        <v>2</v>
      </c>
      <c r="G28" s="2" t="s">
        <v>108</v>
      </c>
      <c r="H28" s="2" t="s">
        <v>109</v>
      </c>
      <c r="M28" s="2" t="str">
        <f>TRIM(_xlfn.CONCAT(F28," ",G28," ",H28," ",I28," ",J28," ",K28," ",L28))</f>
        <v>Club A.C.N. Marisma</v>
      </c>
      <c r="N28" s="3">
        <v>0.1015625</v>
      </c>
      <c r="O28" s="3"/>
      <c r="R28" s="2">
        <v>25</v>
      </c>
      <c r="S28" s="2" t="s">
        <v>367</v>
      </c>
      <c r="T28" s="2" t="s">
        <v>368</v>
      </c>
      <c r="U28" s="2" t="s">
        <v>369</v>
      </c>
      <c r="V28" s="2">
        <v>1991</v>
      </c>
      <c r="W28" s="2" t="s">
        <v>355</v>
      </c>
      <c r="X28" s="2" t="s">
        <v>370</v>
      </c>
      <c r="Y28" s="2" t="s">
        <v>358</v>
      </c>
      <c r="Z28" s="2" t="s">
        <v>4</v>
      </c>
      <c r="AA28" s="2" t="s">
        <v>27</v>
      </c>
      <c r="AB28" s="2" t="s">
        <v>9</v>
      </c>
      <c r="AC28" s="2" t="s">
        <v>98</v>
      </c>
      <c r="AD28" s="2" t="s">
        <v>99</v>
      </c>
      <c r="AF28" s="2" t="str">
        <f>TRIM(_xlfn.CONCAT(W28," ",X28," ",Y28," ",Z28," ",AA28," ",AB28," ",AC28," ",AD28," ",AE28))</f>
        <v>C lu b Natación y Salvamento Oriol Imperial</v>
      </c>
      <c r="AG28" s="3">
        <v>9.0289351851851857E-2</v>
      </c>
      <c r="AH28" s="3"/>
      <c r="AK28" s="2">
        <v>26</v>
      </c>
      <c r="AL28" s="2" t="s">
        <v>371</v>
      </c>
      <c r="AM28" s="2" t="s">
        <v>608</v>
      </c>
      <c r="AN28" s="2" t="s">
        <v>37</v>
      </c>
      <c r="AO28" s="2">
        <v>1983</v>
      </c>
      <c r="AP28" s="2" t="s">
        <v>2</v>
      </c>
      <c r="AQ28" s="2" t="s">
        <v>4</v>
      </c>
      <c r="AR28" s="2" t="s">
        <v>43</v>
      </c>
      <c r="AS28" s="2" t="s">
        <v>153</v>
      </c>
      <c r="AY28" s="2" t="str">
        <f>TRIM(_xlfn.CONCAT(AP28," ",AQ28," ",AR28," ",AS28," ",AT28," ",AU28," ",AV28," ",AW28," ",AX28))</f>
        <v>Club Natación SOS Bétera</v>
      </c>
      <c r="AZ28" s="3">
        <v>0.1491550925925926</v>
      </c>
      <c r="BA28" s="3"/>
      <c r="BB28" s="2">
        <v>10</v>
      </c>
      <c r="BD28" s="2">
        <v>1</v>
      </c>
      <c r="BE28" s="2" t="s">
        <v>748</v>
      </c>
      <c r="BF28" s="2" t="s">
        <v>193</v>
      </c>
      <c r="BG28" s="2" t="s">
        <v>749</v>
      </c>
      <c r="BH28" s="2">
        <v>1984</v>
      </c>
      <c r="BI28" s="2" t="s">
        <v>572</v>
      </c>
      <c r="BJ28" s="2" t="s">
        <v>573</v>
      </c>
      <c r="BK28" s="2" t="s">
        <v>574</v>
      </c>
      <c r="BL28" s="2" t="s">
        <v>575</v>
      </c>
      <c r="BR28" s="2" t="str">
        <f>TRIM(_xlfn.CONCAT(BI28," ",BJ28," ",BK28," ",BL28," ",BM28," ",BN28," ",BO28," ",BP28," ",BQ28))</f>
        <v>Loredo Surf Life Saving</v>
      </c>
      <c r="BS28" s="3">
        <v>9.0474537037037034E-2</v>
      </c>
      <c r="BT28" s="3"/>
      <c r="BU28" s="2">
        <v>20</v>
      </c>
    </row>
    <row r="29" spans="1:73" x14ac:dyDescent="0.6">
      <c r="A29" s="2">
        <v>26</v>
      </c>
      <c r="B29" s="2" t="s">
        <v>110</v>
      </c>
      <c r="C29" s="2" t="s">
        <v>111</v>
      </c>
      <c r="D29" s="2" t="s">
        <v>112</v>
      </c>
      <c r="E29" s="2">
        <v>2008</v>
      </c>
      <c r="F29" s="2" t="s">
        <v>62</v>
      </c>
      <c r="G29" s="2" t="s">
        <v>63</v>
      </c>
      <c r="H29" s="2" t="s">
        <v>9</v>
      </c>
      <c r="I29" s="2" t="s">
        <v>27</v>
      </c>
      <c r="J29" s="2" t="s">
        <v>28</v>
      </c>
      <c r="M29" s="2" t="str">
        <f>TRIM(_xlfn.CONCAT(F29," ",G29," ",H29," ",I29," ",J29," ",K29," ",L29))</f>
        <v>Alcarreño de Salvamento y Socorrismo</v>
      </c>
      <c r="N29" s="3">
        <v>0.10158564814814815</v>
      </c>
      <c r="O29" s="3"/>
      <c r="R29" s="2">
        <v>26</v>
      </c>
      <c r="S29" s="2" t="s">
        <v>371</v>
      </c>
      <c r="T29" s="2" t="s">
        <v>31</v>
      </c>
      <c r="U29" s="2" t="s">
        <v>372</v>
      </c>
      <c r="V29" s="2">
        <v>2005</v>
      </c>
      <c r="W29" s="2" t="s">
        <v>2</v>
      </c>
      <c r="X29" s="2" t="s">
        <v>9</v>
      </c>
      <c r="Y29" s="2" t="s">
        <v>27</v>
      </c>
      <c r="Z29" s="2" t="s">
        <v>4</v>
      </c>
      <c r="AA29" s="2" t="s">
        <v>51</v>
      </c>
      <c r="AF29" s="2" t="str">
        <f>TRIM(_xlfn.CONCAT(W29," ",X29," ",Y29," ",Z29," ",AA29," ",AB29," ",AC29," ",AD29," ",AE29))</f>
        <v>Club Salvamento y Natación Silla</v>
      </c>
      <c r="AG29" s="3">
        <v>9.0960648148148152E-2</v>
      </c>
      <c r="AH29" s="3"/>
      <c r="AK29" s="2">
        <v>27</v>
      </c>
      <c r="AL29" s="2" t="s">
        <v>373</v>
      </c>
      <c r="AM29" s="2" t="s">
        <v>609</v>
      </c>
      <c r="AN29" s="2" t="s">
        <v>610</v>
      </c>
      <c r="AO29" s="2">
        <v>1976</v>
      </c>
      <c r="AP29" s="2" t="s">
        <v>2</v>
      </c>
      <c r="AQ29" s="2" t="s">
        <v>4</v>
      </c>
      <c r="AR29" s="2" t="s">
        <v>27</v>
      </c>
      <c r="AS29" s="2" t="s">
        <v>9</v>
      </c>
      <c r="AT29" s="2" t="s">
        <v>75</v>
      </c>
      <c r="AY29" s="2" t="str">
        <f>TRIM(_xlfn.CONCAT(AP29," ",AQ29," ",AR29," ",AS29," ",AT29," ",AU29," ",AV29," ",AW29," ",AX29))</f>
        <v>Club Natación y Salvamento Albasit</v>
      </c>
      <c r="AZ29" s="3">
        <v>0.10696759259259259</v>
      </c>
      <c r="BA29" s="3"/>
      <c r="BB29" s="2">
        <v>20</v>
      </c>
      <c r="BD29" s="2">
        <v>2</v>
      </c>
      <c r="BE29" s="2" t="s">
        <v>645</v>
      </c>
      <c r="BF29" s="2" t="s">
        <v>169</v>
      </c>
      <c r="BG29" s="2" t="s">
        <v>876</v>
      </c>
      <c r="BH29" s="2">
        <v>1981</v>
      </c>
      <c r="BI29" s="2" t="s">
        <v>572</v>
      </c>
      <c r="BJ29" s="2" t="s">
        <v>573</v>
      </c>
      <c r="BK29" s="2" t="s">
        <v>574</v>
      </c>
      <c r="BL29" s="2" t="s">
        <v>575</v>
      </c>
      <c r="BR29" s="2" t="str">
        <f>TRIM(_xlfn.CONCAT(BI29," ",BJ29," ",BK29," ",BL29," ",BM29," ",BN29," ",BO29," ",BP29," ",BQ29))</f>
        <v>Loredo Surf Life Saving</v>
      </c>
      <c r="BS29" s="3">
        <v>9.4050925925925927E-2</v>
      </c>
      <c r="BT29" s="3"/>
      <c r="BU29" s="2">
        <v>18</v>
      </c>
    </row>
    <row r="30" spans="1:73" x14ac:dyDescent="0.6">
      <c r="A30" s="2">
        <v>27</v>
      </c>
      <c r="B30" s="2" t="s">
        <v>113</v>
      </c>
      <c r="C30" s="2" t="s">
        <v>114</v>
      </c>
      <c r="D30" s="2" t="s">
        <v>115</v>
      </c>
      <c r="E30" s="2">
        <v>2009</v>
      </c>
      <c r="F30" s="2" t="s">
        <v>2</v>
      </c>
      <c r="G30" s="2" t="s">
        <v>9</v>
      </c>
      <c r="H30" s="2" t="s">
        <v>116</v>
      </c>
      <c r="M30" s="2" t="str">
        <f>TRIM(_xlfn.CONCAT(F30," ",G30," ",H30," ",I30," ",J30," ",K30," ",L30))</f>
        <v>Club Salvamento Vilagarcía</v>
      </c>
      <c r="N30" s="3">
        <v>0.1019212962962963</v>
      </c>
      <c r="O30" s="3"/>
      <c r="R30" s="2">
        <v>27</v>
      </c>
      <c r="S30" s="2" t="s">
        <v>373</v>
      </c>
      <c r="T30" s="2" t="s">
        <v>374</v>
      </c>
      <c r="U30" s="2" t="s">
        <v>375</v>
      </c>
      <c r="V30" s="2">
        <v>2009</v>
      </c>
      <c r="W30" s="2" t="s">
        <v>2</v>
      </c>
      <c r="X30" s="2" t="s">
        <v>9</v>
      </c>
      <c r="Y30" s="2" t="s">
        <v>27</v>
      </c>
      <c r="Z30" s="2" t="s">
        <v>28</v>
      </c>
      <c r="AA30" s="2" t="s">
        <v>139</v>
      </c>
      <c r="AB30" s="2" t="s">
        <v>11</v>
      </c>
      <c r="AC30" s="2" t="s">
        <v>140</v>
      </c>
      <c r="AF30" s="2" t="str">
        <f>TRIM(_xlfn.CONCAT(W30," ",X30," ",Y30," ",Z30," ",AA30," ",AB30," ",AC30," ",AD30," ",AE30))</f>
        <v>Club Salvamento y Socorrismo Carballo - SYSCA</v>
      </c>
      <c r="AG30" s="3">
        <v>9.1134259259259262E-2</v>
      </c>
      <c r="AH30" s="3"/>
      <c r="AK30" s="2">
        <v>28</v>
      </c>
      <c r="AL30" s="2" t="s">
        <v>174</v>
      </c>
      <c r="AM30" s="2" t="s">
        <v>611</v>
      </c>
      <c r="AN30" s="2" t="s">
        <v>191</v>
      </c>
      <c r="AO30" s="2">
        <v>1980</v>
      </c>
      <c r="AP30" s="2" t="s">
        <v>2</v>
      </c>
      <c r="AQ30" s="2" t="s">
        <v>4</v>
      </c>
      <c r="AR30" s="2" t="s">
        <v>585</v>
      </c>
      <c r="AS30" s="2" t="s">
        <v>586</v>
      </c>
      <c r="AT30" s="2" t="s">
        <v>587</v>
      </c>
      <c r="AY30" s="2" t="str">
        <f>TRIM(_xlfn.CONCAT(AP30," ",AQ30," ",AR30," ",AS30," ",AT30," ",AU30," ",AV30," ",AW30," ",AX30))</f>
        <v>Club Natación Martiánez Coral Hotels</v>
      </c>
      <c r="AZ30" s="3">
        <v>0.11134259259259259</v>
      </c>
      <c r="BA30" s="3"/>
      <c r="BB30" s="2">
        <v>18</v>
      </c>
      <c r="BD30" s="2">
        <v>3</v>
      </c>
      <c r="BE30" s="2" t="s">
        <v>52</v>
      </c>
      <c r="BF30" s="2" t="s">
        <v>30</v>
      </c>
      <c r="BG30" s="2" t="s">
        <v>354</v>
      </c>
      <c r="BH30" s="2">
        <v>1983</v>
      </c>
      <c r="BI30" s="2" t="s">
        <v>466</v>
      </c>
      <c r="BJ30" s="2" t="s">
        <v>467</v>
      </c>
      <c r="BK30" s="2" t="s">
        <v>34</v>
      </c>
      <c r="BR30" s="2" t="str">
        <f>TRIM(_xlfn.CONCAT(BI30," ",BJ30," ",BK30," ",BL30," ",BM30," ",BN30," ",BO30," ",BP30," ",BQ30))</f>
        <v>C.D.B. Vallecas S.O.S</v>
      </c>
      <c r="BS30" s="3">
        <v>0.10081018518518518</v>
      </c>
      <c r="BT30" s="3"/>
      <c r="BU30" s="2">
        <v>16</v>
      </c>
    </row>
    <row r="31" spans="1:73" x14ac:dyDescent="0.6">
      <c r="A31" s="2">
        <v>28</v>
      </c>
      <c r="B31" s="2" t="s">
        <v>117</v>
      </c>
      <c r="C31" s="2" t="s">
        <v>118</v>
      </c>
      <c r="D31" s="2" t="s">
        <v>119</v>
      </c>
      <c r="E31" s="2">
        <v>2007</v>
      </c>
      <c r="F31" s="2" t="s">
        <v>2</v>
      </c>
      <c r="G31" s="2" t="s">
        <v>120</v>
      </c>
      <c r="H31" s="2" t="s">
        <v>121</v>
      </c>
      <c r="M31" s="2" t="str">
        <f>TRIM(_xlfn.CONCAT(F31," ",G31," ",H31," ",I31," ",J31," ",K31," ",L31))</f>
        <v>Club Multideporte Valladolid</v>
      </c>
      <c r="N31" s="3">
        <v>0.10228009259259259</v>
      </c>
      <c r="O31" s="3"/>
      <c r="R31" s="2">
        <v>28</v>
      </c>
      <c r="S31" s="2" t="s">
        <v>174</v>
      </c>
      <c r="T31" s="2" t="s">
        <v>376</v>
      </c>
      <c r="U31" s="2" t="s">
        <v>377</v>
      </c>
      <c r="V31" s="2">
        <v>2005</v>
      </c>
      <c r="W31" s="2" t="s">
        <v>355</v>
      </c>
      <c r="X31" s="2" t="s">
        <v>356</v>
      </c>
      <c r="Y31" s="2" t="s">
        <v>357</v>
      </c>
      <c r="Z31" s="2" t="s">
        <v>358</v>
      </c>
      <c r="AA31" s="2" t="s">
        <v>4</v>
      </c>
      <c r="AB31" s="2" t="s">
        <v>27</v>
      </c>
      <c r="AC31" s="2" t="s">
        <v>9</v>
      </c>
      <c r="AD31" s="2" t="s">
        <v>378</v>
      </c>
      <c r="AE31" s="2" t="s">
        <v>379</v>
      </c>
      <c r="AF31" s="2" t="str">
        <f>TRIM(_xlfn.CONCAT(W31," ",X31," ",Y31," ",Z31," ",AA31," ",AB31," ",AC31," ",AD31," ",AE31))</f>
        <v>C l u b Natación y Salvamento A Estrada</v>
      </c>
      <c r="AG31" s="3">
        <v>9.1203703703703703E-2</v>
      </c>
      <c r="AH31" s="3"/>
      <c r="AK31" s="2">
        <v>29</v>
      </c>
      <c r="AL31" s="2" t="s">
        <v>380</v>
      </c>
      <c r="AM31" s="2" t="s">
        <v>612</v>
      </c>
      <c r="AN31" s="2" t="s">
        <v>613</v>
      </c>
      <c r="AO31" s="2">
        <v>1978</v>
      </c>
      <c r="AP31" s="2" t="s">
        <v>2</v>
      </c>
      <c r="AQ31" s="2" t="s">
        <v>4</v>
      </c>
      <c r="AR31" s="2" t="s">
        <v>27</v>
      </c>
      <c r="AS31" s="2" t="s">
        <v>9</v>
      </c>
      <c r="AT31" s="2" t="s">
        <v>75</v>
      </c>
      <c r="AY31" s="2" t="str">
        <f>TRIM(_xlfn.CONCAT(AP31," ",AQ31," ",AR31," ",AS31," ",AT31," ",AU31," ",AV31," ",AW31," ",AX31))</f>
        <v>Club Natación y Salvamento Albasit</v>
      </c>
      <c r="AZ31" s="3">
        <v>0.11714120370370371</v>
      </c>
      <c r="BA31" s="3"/>
      <c r="BB31" s="2">
        <v>16</v>
      </c>
      <c r="BD31" s="2">
        <v>4</v>
      </c>
      <c r="BE31" s="2" t="s">
        <v>750</v>
      </c>
      <c r="BF31" s="2" t="s">
        <v>351</v>
      </c>
      <c r="BG31" s="2" t="s">
        <v>337</v>
      </c>
      <c r="BH31" s="2">
        <v>1981</v>
      </c>
      <c r="BI31" s="2" t="s">
        <v>2</v>
      </c>
      <c r="BJ31" s="2" t="s">
        <v>3</v>
      </c>
      <c r="BK31" s="2" t="s">
        <v>33</v>
      </c>
      <c r="BL31" s="2" t="s">
        <v>34</v>
      </c>
      <c r="BR31" s="2" t="str">
        <f>TRIM(_xlfn.CONCAT(BI31," ",BJ31," ",BK31," ",BL31," ",BM31," ",BN31," ",BO31," ",BP31," ",BQ31))</f>
        <v>Club Deportivo Oca S.O.S</v>
      </c>
      <c r="BS31" s="3">
        <v>0.104375</v>
      </c>
      <c r="BT31" s="3"/>
      <c r="BU31" s="2">
        <v>14</v>
      </c>
    </row>
    <row r="32" spans="1:73" x14ac:dyDescent="0.6">
      <c r="A32" s="2">
        <v>29</v>
      </c>
      <c r="B32" s="2" t="s">
        <v>122</v>
      </c>
      <c r="C32" s="2" t="s">
        <v>123</v>
      </c>
      <c r="D32" s="2" t="s">
        <v>37</v>
      </c>
      <c r="E32" s="2">
        <v>2007</v>
      </c>
      <c r="F32" s="2" t="s">
        <v>2</v>
      </c>
      <c r="G32" s="2" t="s">
        <v>9</v>
      </c>
      <c r="H32" s="2" t="s">
        <v>116</v>
      </c>
      <c r="M32" s="2" t="str">
        <f>TRIM(_xlfn.CONCAT(F32," ",G32," ",H32," ",I32," ",J32," ",K32," ",L32))</f>
        <v>Club Salvamento Vilagarcía</v>
      </c>
      <c r="N32" s="3">
        <v>0.10284722222222223</v>
      </c>
      <c r="O32" s="3"/>
      <c r="R32" s="2">
        <v>29</v>
      </c>
      <c r="S32" s="2" t="s">
        <v>380</v>
      </c>
      <c r="T32" s="2" t="s">
        <v>381</v>
      </c>
      <c r="U32" s="2" t="s">
        <v>382</v>
      </c>
      <c r="V32" s="2">
        <v>2008</v>
      </c>
      <c r="W32" s="2" t="s">
        <v>2</v>
      </c>
      <c r="X32" s="2" t="s">
        <v>22</v>
      </c>
      <c r="Y32" s="2" t="s">
        <v>104</v>
      </c>
      <c r="Z32" s="2" t="s">
        <v>105</v>
      </c>
      <c r="AF32" s="2" t="str">
        <f>TRIM(_xlfn.CONCAT(W32," ",X32," ",Y32," ",Z32," ",AA32," ",AB32," ",AC32," ",AD32," ",AE32))</f>
        <v>Club Natació Reus Ploms</v>
      </c>
      <c r="AG32" s="3">
        <v>9.1585648148148152E-2</v>
      </c>
      <c r="AH32" s="3"/>
      <c r="AK32" s="2">
        <v>30</v>
      </c>
      <c r="AL32" s="2" t="s">
        <v>383</v>
      </c>
      <c r="AM32" s="2" t="s">
        <v>6</v>
      </c>
      <c r="AN32" s="2" t="s">
        <v>274</v>
      </c>
      <c r="AO32" s="2">
        <v>1977</v>
      </c>
      <c r="AP32" s="2" t="s">
        <v>2</v>
      </c>
      <c r="AQ32" s="2" t="s">
        <v>4</v>
      </c>
      <c r="AR32" s="2" t="s">
        <v>43</v>
      </c>
      <c r="AS32" s="2" t="s">
        <v>153</v>
      </c>
      <c r="AY32" s="2" t="str">
        <f>TRIM(_xlfn.CONCAT(AP32," ",AQ32," ",AR32," ",AS32," ",AT32," ",AU32," ",AV32," ",AW32," ",AX32))</f>
        <v>Club Natación SOS Bétera</v>
      </c>
      <c r="AZ32" s="3">
        <v>0.11896990740740741</v>
      </c>
      <c r="BA32" s="3"/>
      <c r="BB32" s="2">
        <v>14</v>
      </c>
      <c r="BD32" s="2">
        <v>5</v>
      </c>
      <c r="BE32" s="2" t="s">
        <v>751</v>
      </c>
      <c r="BF32" s="2" t="s">
        <v>752</v>
      </c>
      <c r="BG32" s="2" t="s">
        <v>439</v>
      </c>
      <c r="BH32" s="2">
        <v>1984</v>
      </c>
      <c r="BI32" s="2" t="s">
        <v>2</v>
      </c>
      <c r="BJ32" s="2" t="s">
        <v>22</v>
      </c>
      <c r="BK32" s="2" t="s">
        <v>104</v>
      </c>
      <c r="BL32" s="2" t="s">
        <v>105</v>
      </c>
      <c r="BR32" s="2" t="str">
        <f>TRIM(_xlfn.CONCAT(BI32," ",BJ32," ",BK32," ",BL32," ",BM32," ",BN32," ",BO32," ",BP32," ",BQ32))</f>
        <v>Club Natació Reus Ploms</v>
      </c>
      <c r="BS32" s="3">
        <v>0.10657407407407407</v>
      </c>
      <c r="BT32" s="3"/>
      <c r="BU32" s="2">
        <v>13</v>
      </c>
    </row>
    <row r="33" spans="1:73" x14ac:dyDescent="0.6">
      <c r="A33" s="2">
        <v>30</v>
      </c>
      <c r="B33" s="2" t="s">
        <v>124</v>
      </c>
      <c r="C33" s="2" t="s">
        <v>125</v>
      </c>
      <c r="D33" s="2" t="s">
        <v>21</v>
      </c>
      <c r="E33" s="2">
        <v>2007</v>
      </c>
      <c r="F33" s="2" t="s">
        <v>2</v>
      </c>
      <c r="G33" s="2" t="s">
        <v>22</v>
      </c>
      <c r="H33" s="2" t="s">
        <v>104</v>
      </c>
      <c r="I33" s="2" t="s">
        <v>105</v>
      </c>
      <c r="M33" s="2" t="str">
        <f>TRIM(_xlfn.CONCAT(F33," ",G33," ",H33," ",I33," ",J33," ",K33," ",L33))</f>
        <v>Club Natació Reus Ploms</v>
      </c>
      <c r="N33" s="3">
        <v>0.10311342592592593</v>
      </c>
      <c r="O33" s="3"/>
      <c r="R33" s="2">
        <v>30</v>
      </c>
      <c r="S33" s="2" t="s">
        <v>383</v>
      </c>
      <c r="T33" s="2" t="s">
        <v>384</v>
      </c>
      <c r="U33" s="2" t="s">
        <v>385</v>
      </c>
      <c r="V33" s="2">
        <v>2005</v>
      </c>
      <c r="W33" s="2" t="s">
        <v>62</v>
      </c>
      <c r="X33" s="2" t="s">
        <v>63</v>
      </c>
      <c r="Y33" s="2" t="s">
        <v>9</v>
      </c>
      <c r="Z33" s="2" t="s">
        <v>27</v>
      </c>
      <c r="AA33" s="2" t="s">
        <v>28</v>
      </c>
      <c r="AF33" s="2" t="str">
        <f>TRIM(_xlfn.CONCAT(W33," ",X33," ",Y33," ",Z33," ",AA33," ",AB33," ",AC33," ",AD33," ",AE33))</f>
        <v>Alcarreño de Salvamento y Socorrismo</v>
      </c>
      <c r="AG33" s="3">
        <v>9.1736111111111115E-2</v>
      </c>
      <c r="AH33" s="3"/>
      <c r="AK33" s="2">
        <v>31</v>
      </c>
      <c r="AL33" s="2" t="s">
        <v>386</v>
      </c>
      <c r="AM33" s="2" t="s">
        <v>141</v>
      </c>
      <c r="AN33" s="2" t="s">
        <v>615</v>
      </c>
      <c r="AO33" s="2">
        <v>1978</v>
      </c>
      <c r="AP33" s="2" t="s">
        <v>2</v>
      </c>
      <c r="AQ33" s="2" t="s">
        <v>4</v>
      </c>
      <c r="AR33" s="2" t="s">
        <v>585</v>
      </c>
      <c r="AS33" s="2" t="s">
        <v>586</v>
      </c>
      <c r="AT33" s="2" t="s">
        <v>587</v>
      </c>
      <c r="AY33" s="2" t="str">
        <f>TRIM(_xlfn.CONCAT(AP33," ",AQ33," ",AR33," ",AS33," ",AT33," ",AU33," ",AV33," ",AW33," ",AX33))</f>
        <v>Club Natación Martiánez Coral Hotels</v>
      </c>
      <c r="AZ33" s="3">
        <v>0.1208449074074074</v>
      </c>
      <c r="BA33" s="3"/>
      <c r="BB33" s="2">
        <v>13</v>
      </c>
      <c r="BD33" s="2">
        <v>6</v>
      </c>
      <c r="BE33" s="2" t="s">
        <v>753</v>
      </c>
      <c r="BF33" s="2" t="s">
        <v>754</v>
      </c>
      <c r="BG33" s="2" t="s">
        <v>332</v>
      </c>
      <c r="BH33" s="2">
        <v>1983</v>
      </c>
      <c r="BI33" s="2" t="s">
        <v>572</v>
      </c>
      <c r="BJ33" s="2" t="s">
        <v>573</v>
      </c>
      <c r="BK33" s="2" t="s">
        <v>574</v>
      </c>
      <c r="BL33" s="2" t="s">
        <v>575</v>
      </c>
      <c r="BR33" s="2" t="str">
        <f>TRIM(_xlfn.CONCAT(BI33," ",BJ33," ",BK33," ",BL33," ",BM33," ",BN33," ",BO33," ",BP33," ",BQ33))</f>
        <v>Loredo Surf Life Saving</v>
      </c>
      <c r="BS33" s="3">
        <v>0.11302083333333333</v>
      </c>
      <c r="BT33" s="3"/>
      <c r="BU33" s="2">
        <v>12</v>
      </c>
    </row>
    <row r="34" spans="1:73" x14ac:dyDescent="0.6">
      <c r="A34" s="2">
        <v>31</v>
      </c>
      <c r="B34" s="2" t="s">
        <v>126</v>
      </c>
      <c r="C34" s="2" t="s">
        <v>127</v>
      </c>
      <c r="D34" s="2" t="s">
        <v>128</v>
      </c>
      <c r="E34" s="2">
        <v>2009</v>
      </c>
      <c r="F34" s="2" t="s">
        <v>2</v>
      </c>
      <c r="G34" s="2" t="s">
        <v>9</v>
      </c>
      <c r="H34" s="2" t="s">
        <v>116</v>
      </c>
      <c r="M34" s="2" t="str">
        <f>TRIM(_xlfn.CONCAT(F34," ",G34," ",H34," ",I34," ",J34," ",K34," ",L34))</f>
        <v>Club Salvamento Vilagarcía</v>
      </c>
      <c r="N34" s="3">
        <v>0.10302083333333334</v>
      </c>
      <c r="O34" s="3"/>
      <c r="R34" s="2">
        <v>31</v>
      </c>
      <c r="S34" s="2" t="s">
        <v>386</v>
      </c>
      <c r="T34" s="2" t="s">
        <v>387</v>
      </c>
      <c r="U34" s="2" t="s">
        <v>388</v>
      </c>
      <c r="V34" s="2">
        <v>2009</v>
      </c>
      <c r="W34" s="2" t="s">
        <v>355</v>
      </c>
      <c r="X34" s="2" t="s">
        <v>356</v>
      </c>
      <c r="Y34" s="2" t="s">
        <v>357</v>
      </c>
      <c r="Z34" s="2" t="s">
        <v>358</v>
      </c>
      <c r="AA34" s="2" t="s">
        <v>4</v>
      </c>
      <c r="AB34" s="2" t="s">
        <v>27</v>
      </c>
      <c r="AC34" s="2" t="s">
        <v>9</v>
      </c>
      <c r="AD34" s="2" t="s">
        <v>378</v>
      </c>
      <c r="AE34" s="2" t="s">
        <v>379</v>
      </c>
      <c r="AF34" s="2" t="str">
        <f>TRIM(_xlfn.CONCAT(W34," ",X34," ",Y34," ",Z34," ",AA34," ",AB34," ",AC34," ",AD34," ",AE34))</f>
        <v>C l u b Natación y Salvamento A Estrada</v>
      </c>
      <c r="AG34" s="3">
        <v>9.1886574074074079E-2</v>
      </c>
      <c r="AH34" s="3"/>
      <c r="AK34" s="2">
        <v>32</v>
      </c>
      <c r="AL34" s="2" t="s">
        <v>389</v>
      </c>
      <c r="AM34" s="2" t="s">
        <v>248</v>
      </c>
      <c r="AN34" s="2" t="s">
        <v>605</v>
      </c>
      <c r="AO34" s="2">
        <v>1979</v>
      </c>
      <c r="AP34" s="2" t="s">
        <v>62</v>
      </c>
      <c r="AQ34" s="2" t="s">
        <v>63</v>
      </c>
      <c r="AR34" s="2" t="s">
        <v>9</v>
      </c>
      <c r="AS34" s="2" t="s">
        <v>27</v>
      </c>
      <c r="AT34" s="2" t="s">
        <v>28</v>
      </c>
      <c r="AY34" s="2" t="str">
        <f>TRIM(_xlfn.CONCAT(AP34," ",AQ34," ",AR34," ",AS34," ",AT34," ",AU34," ",AV34," ",AW34," ",AX34))</f>
        <v>Alcarreño de Salvamento y Socorrismo</v>
      </c>
      <c r="AZ34" s="3">
        <v>0.12168981481481482</v>
      </c>
      <c r="BA34" s="3"/>
      <c r="BB34" s="2">
        <v>12</v>
      </c>
      <c r="BD34" s="2">
        <v>7</v>
      </c>
      <c r="BE34" s="2" t="s">
        <v>755</v>
      </c>
      <c r="BF34" s="2" t="s">
        <v>645</v>
      </c>
      <c r="BG34" s="2" t="s">
        <v>375</v>
      </c>
      <c r="BH34" s="2">
        <v>1983</v>
      </c>
      <c r="BI34" s="2" t="s">
        <v>41</v>
      </c>
      <c r="BJ34" s="2" t="s">
        <v>42</v>
      </c>
      <c r="BK34" s="2" t="s">
        <v>9</v>
      </c>
      <c r="BL34" s="2" t="s">
        <v>157</v>
      </c>
      <c r="BR34" s="2" t="str">
        <f>TRIM(_xlfn.CONCAT(BI34," ",BJ34," ",BK34," ",BL34," ",BM34," ",BN34," ",BO34," ",BP34," ",BQ34))</f>
        <v>C. D. Salvamento Dragones</v>
      </c>
      <c r="BS34" s="3">
        <v>0.11347222222222222</v>
      </c>
      <c r="BT34" s="3"/>
      <c r="BU34" s="2">
        <v>11</v>
      </c>
    </row>
    <row r="35" spans="1:73" x14ac:dyDescent="0.6">
      <c r="A35" s="2">
        <v>32</v>
      </c>
      <c r="B35" s="2" t="s">
        <v>129</v>
      </c>
      <c r="C35" s="2" t="s">
        <v>130</v>
      </c>
      <c r="D35" s="2" t="s">
        <v>131</v>
      </c>
      <c r="E35" s="2">
        <v>2006</v>
      </c>
      <c r="F35" s="2" t="s">
        <v>2</v>
      </c>
      <c r="G35" s="2" t="s">
        <v>22</v>
      </c>
      <c r="H35" s="2" t="s">
        <v>104</v>
      </c>
      <c r="I35" s="2" t="s">
        <v>105</v>
      </c>
      <c r="M35" s="2" t="str">
        <f>TRIM(_xlfn.CONCAT(F35," ",G35," ",H35," ",I35," ",J35," ",K35," ",L35))</f>
        <v>Club Natació Reus Ploms</v>
      </c>
      <c r="N35" s="3">
        <v>0.1034837962962963</v>
      </c>
      <c r="O35" s="3"/>
      <c r="R35" s="2">
        <v>32</v>
      </c>
      <c r="S35" s="2" t="s">
        <v>389</v>
      </c>
      <c r="T35" s="2" t="s">
        <v>35</v>
      </c>
      <c r="U35" s="2" t="s">
        <v>390</v>
      </c>
      <c r="V35" s="2">
        <v>2008</v>
      </c>
      <c r="W35" s="2" t="s">
        <v>2</v>
      </c>
      <c r="X35" s="2" t="s">
        <v>9</v>
      </c>
      <c r="Y35" s="2" t="s">
        <v>116</v>
      </c>
      <c r="AF35" s="2" t="str">
        <f>TRIM(_xlfn.CONCAT(W35," ",X35," ",Y35," ",Z35," ",AA35," ",AB35," ",AC35," ",AD35," ",AE35))</f>
        <v>Club Salvamento Vilagarcía</v>
      </c>
      <c r="AG35" s="3">
        <v>9.2037037037037042E-2</v>
      </c>
      <c r="AH35" s="3"/>
      <c r="AK35" s="2">
        <v>33</v>
      </c>
      <c r="AL35" s="2" t="s">
        <v>391</v>
      </c>
      <c r="AM35" s="2" t="s">
        <v>616</v>
      </c>
      <c r="AN35" s="2" t="s">
        <v>617</v>
      </c>
      <c r="AO35" s="2">
        <v>1980</v>
      </c>
      <c r="AP35" s="2" t="s">
        <v>2</v>
      </c>
      <c r="AQ35" s="2" t="s">
        <v>22</v>
      </c>
      <c r="AR35" s="2" t="s">
        <v>104</v>
      </c>
      <c r="AS35" s="2" t="s">
        <v>105</v>
      </c>
      <c r="AY35" s="2" t="str">
        <f>TRIM(_xlfn.CONCAT(AP35," ",AQ35," ",AR35," ",AS35," ",AT35," ",AU35," ",AV35," ",AW35," ",AX35))</f>
        <v>Club Natació Reus Ploms</v>
      </c>
      <c r="AZ35" s="3">
        <v>0.12188657407407408</v>
      </c>
      <c r="BA35" s="3"/>
      <c r="BB35" s="2">
        <v>11</v>
      </c>
      <c r="BD35" s="2">
        <v>8</v>
      </c>
      <c r="BE35" s="2" t="s">
        <v>756</v>
      </c>
      <c r="BF35" s="2" t="s">
        <v>652</v>
      </c>
      <c r="BG35" s="2" t="s">
        <v>308</v>
      </c>
      <c r="BH35" s="2">
        <v>1983</v>
      </c>
      <c r="BI35" s="2" t="s">
        <v>2</v>
      </c>
      <c r="BJ35" s="2" t="s">
        <v>3</v>
      </c>
      <c r="BK35" s="2" t="s">
        <v>33</v>
      </c>
      <c r="BL35" s="2" t="s">
        <v>34</v>
      </c>
      <c r="BR35" s="2" t="str">
        <f>TRIM(_xlfn.CONCAT(BI35," ",BJ35," ",BK35," ",BL35," ",BM35," ",BN35," ",BO35," ",BP35," ",BQ35))</f>
        <v>Club Deportivo Oca S.O.S</v>
      </c>
      <c r="BS35" s="3">
        <v>0.11491898148148148</v>
      </c>
      <c r="BT35" s="3"/>
      <c r="BU35" s="2">
        <v>10</v>
      </c>
    </row>
    <row r="36" spans="1:73" x14ac:dyDescent="0.6">
      <c r="A36" s="2">
        <v>33</v>
      </c>
      <c r="B36" s="2" t="s">
        <v>132</v>
      </c>
      <c r="C36" s="2" t="s">
        <v>133</v>
      </c>
      <c r="D36" s="2" t="s">
        <v>26</v>
      </c>
      <c r="E36" s="2">
        <v>1997</v>
      </c>
      <c r="F36" s="2" t="s">
        <v>2</v>
      </c>
      <c r="G36" s="2" t="s">
        <v>3</v>
      </c>
      <c r="H36" s="2" t="s">
        <v>4</v>
      </c>
      <c r="I36" s="2" t="s">
        <v>5</v>
      </c>
      <c r="M36" s="2" t="str">
        <f>TRIM(_xlfn.CONCAT(F36," ",G36," ",H36," ",I36," ",J36," ",K36," ",L36))</f>
        <v>Club Deportivo Natación Aldaia</v>
      </c>
      <c r="N36" s="3">
        <v>0.10376157407407408</v>
      </c>
      <c r="O36" s="3"/>
      <c r="R36" s="2">
        <v>33</v>
      </c>
      <c r="S36" s="2" t="s">
        <v>391</v>
      </c>
      <c r="T36" s="2" t="s">
        <v>392</v>
      </c>
      <c r="U36" s="2" t="s">
        <v>393</v>
      </c>
      <c r="V36" s="2">
        <v>2003</v>
      </c>
      <c r="W36" s="2" t="s">
        <v>355</v>
      </c>
      <c r="X36" s="2" t="s">
        <v>356</v>
      </c>
      <c r="Y36" s="2" t="s">
        <v>357</v>
      </c>
      <c r="Z36" s="2" t="s">
        <v>358</v>
      </c>
      <c r="AA36" s="2" t="s">
        <v>22</v>
      </c>
      <c r="AB36" s="2" t="s">
        <v>104</v>
      </c>
      <c r="AC36" s="2" t="s">
        <v>105</v>
      </c>
      <c r="AF36" s="2" t="str">
        <f>TRIM(_xlfn.CONCAT(W36," ",X36," ",Y36," ",Z36," ",AA36," ",AB36," ",AC36," ",AD36," ",AE36))</f>
        <v>C l u b Natació Reus Ploms</v>
      </c>
      <c r="AG36" s="3">
        <v>9.166666666666666E-2</v>
      </c>
      <c r="AH36" s="3"/>
      <c r="AK36" s="2">
        <v>34</v>
      </c>
      <c r="AL36" s="2" t="s">
        <v>394</v>
      </c>
      <c r="AM36" s="2" t="s">
        <v>618</v>
      </c>
      <c r="AN36" s="2" t="s">
        <v>619</v>
      </c>
      <c r="AO36" s="2">
        <v>1978</v>
      </c>
      <c r="AP36" s="2" t="s">
        <v>572</v>
      </c>
      <c r="AQ36" s="2" t="s">
        <v>573</v>
      </c>
      <c r="AR36" s="2" t="s">
        <v>574</v>
      </c>
      <c r="AS36" s="2" t="s">
        <v>575</v>
      </c>
      <c r="AY36" s="2" t="str">
        <f>TRIM(_xlfn.CONCAT(AP36," ",AQ36," ",AR36," ",AS36," ",AT36," ",AU36," ",AV36," ",AW36," ",AX36))</f>
        <v>Loredo Surf Life Saving</v>
      </c>
      <c r="AZ36" s="3">
        <v>0.12600694444444444</v>
      </c>
      <c r="BA36" s="3"/>
      <c r="BB36" s="2">
        <v>10</v>
      </c>
      <c r="BD36" s="2">
        <v>9</v>
      </c>
      <c r="BE36" s="2" t="s">
        <v>757</v>
      </c>
      <c r="BF36" s="2" t="s">
        <v>441</v>
      </c>
      <c r="BG36" s="2" t="s">
        <v>877</v>
      </c>
      <c r="BH36" s="2">
        <v>1984</v>
      </c>
      <c r="BI36" s="2" t="s">
        <v>2</v>
      </c>
      <c r="BJ36" s="2" t="s">
        <v>108</v>
      </c>
      <c r="BK36" s="2" t="s">
        <v>109</v>
      </c>
      <c r="BR36" s="2" t="str">
        <f>TRIM(_xlfn.CONCAT(BI36," ",BJ36," ",BK36," ",BL36," ",BM36," ",BN36," ",BO36," ",BP36," ",BQ36))</f>
        <v>Club A.C.N. Marisma</v>
      </c>
      <c r="BS36" s="3">
        <v>0.12288194444444445</v>
      </c>
      <c r="BT36" s="3"/>
      <c r="BU36" s="2">
        <v>8</v>
      </c>
    </row>
    <row r="37" spans="1:73" x14ac:dyDescent="0.6">
      <c r="A37" s="2">
        <v>34</v>
      </c>
      <c r="B37" s="2" t="s">
        <v>6</v>
      </c>
      <c r="C37" s="2" t="s">
        <v>134</v>
      </c>
      <c r="D37" s="2" t="s">
        <v>135</v>
      </c>
      <c r="E37" s="2">
        <v>2006</v>
      </c>
      <c r="F37" s="2" t="s">
        <v>2</v>
      </c>
      <c r="G37" s="2" t="s">
        <v>4</v>
      </c>
      <c r="H37" s="2" t="s">
        <v>27</v>
      </c>
      <c r="I37" s="2" t="s">
        <v>9</v>
      </c>
      <c r="J37" s="2" t="s">
        <v>98</v>
      </c>
      <c r="K37" s="2" t="s">
        <v>99</v>
      </c>
      <c r="M37" s="2" t="str">
        <f>TRIM(_xlfn.CONCAT(F37," ",G37," ",H37," ",I37," ",J37," ",K37," ",L37))</f>
        <v>Club Natación y Salvamento Oriol Imperial</v>
      </c>
      <c r="N37" s="3">
        <v>0.10383101851851852</v>
      </c>
      <c r="O37" s="3"/>
      <c r="R37" s="2">
        <v>34</v>
      </c>
      <c r="S37" s="2" t="s">
        <v>394</v>
      </c>
      <c r="T37" s="2" t="s">
        <v>395</v>
      </c>
      <c r="U37" s="2" t="s">
        <v>396</v>
      </c>
      <c r="V37" s="2">
        <v>2009</v>
      </c>
      <c r="W37" s="2" t="s">
        <v>2</v>
      </c>
      <c r="X37" s="2" t="s">
        <v>108</v>
      </c>
      <c r="Y37" s="2" t="s">
        <v>109</v>
      </c>
      <c r="AF37" s="2" t="str">
        <f>TRIM(_xlfn.CONCAT(W37," ",X37," ",Y37," ",Z37," ",AA37," ",AB37," ",AC37," ",AD37," ",AE37))</f>
        <v>Club A.C.N. Marisma</v>
      </c>
      <c r="AG37" s="3">
        <v>9.2662037037037043E-2</v>
      </c>
      <c r="AH37" s="3"/>
      <c r="AK37" s="2">
        <v>35</v>
      </c>
      <c r="AL37" s="2" t="s">
        <v>397</v>
      </c>
      <c r="AM37" s="2" t="s">
        <v>620</v>
      </c>
      <c r="AN37" s="2" t="s">
        <v>613</v>
      </c>
      <c r="AO37" s="2">
        <v>1979</v>
      </c>
      <c r="AP37" s="2" t="s">
        <v>2</v>
      </c>
      <c r="AQ37" s="2" t="s">
        <v>108</v>
      </c>
      <c r="AR37" s="2" t="s">
        <v>109</v>
      </c>
      <c r="AY37" s="2" t="str">
        <f>TRIM(_xlfn.CONCAT(AP37," ",AQ37," ",AR37," ",AS37," ",AT37," ",AU37," ",AV37," ",AW37," ",AX37))</f>
        <v>Club A.C.N. Marisma</v>
      </c>
      <c r="AZ37" s="3">
        <v>0.12861111111111112</v>
      </c>
      <c r="BA37" s="3"/>
      <c r="BB37" s="2">
        <v>8</v>
      </c>
      <c r="BD37" s="2">
        <v>10</v>
      </c>
      <c r="BE37" s="2" t="s">
        <v>758</v>
      </c>
      <c r="BF37" s="2" t="s">
        <v>183</v>
      </c>
      <c r="BG37" s="2" t="s">
        <v>759</v>
      </c>
      <c r="BH37" s="2">
        <v>1982</v>
      </c>
      <c r="BI37" s="2" t="s">
        <v>2</v>
      </c>
      <c r="BJ37" s="2" t="s">
        <v>210</v>
      </c>
      <c r="BR37" s="2" t="str">
        <f>TRIM(_xlfn.CONCAT(BI37," ",BJ37," ",BK37," ",BL37," ",BM37," ",BN37," ",BO37," ",BP37," ",BQ37))</f>
        <v>Club Leucante</v>
      </c>
      <c r="BS37" s="3">
        <v>0.13527777777777777</v>
      </c>
      <c r="BT37" s="3"/>
      <c r="BU37" s="2">
        <v>7</v>
      </c>
    </row>
    <row r="38" spans="1:73" x14ac:dyDescent="0.6">
      <c r="A38" s="2">
        <v>35</v>
      </c>
      <c r="B38" s="2" t="s">
        <v>136</v>
      </c>
      <c r="C38" s="2" t="s">
        <v>137</v>
      </c>
      <c r="D38" s="2" t="s">
        <v>138</v>
      </c>
      <c r="E38" s="2">
        <v>2008</v>
      </c>
      <c r="F38" s="2" t="s">
        <v>2</v>
      </c>
      <c r="G38" s="2" t="s">
        <v>9</v>
      </c>
      <c r="H38" s="2" t="s">
        <v>27</v>
      </c>
      <c r="I38" s="2" t="s">
        <v>28</v>
      </c>
      <c r="J38" s="2" t="s">
        <v>139</v>
      </c>
      <c r="K38" s="2" t="s">
        <v>11</v>
      </c>
      <c r="L38" s="2" t="s">
        <v>140</v>
      </c>
      <c r="M38" s="2" t="str">
        <f>TRIM(_xlfn.CONCAT(F38," ",G38," ",H38," ",I38," ",J38," ",K38," ",L38))</f>
        <v>Club Salvamento y Socorrismo Carballo - SYSCA</v>
      </c>
      <c r="N38" s="3">
        <v>0.10402777777777777</v>
      </c>
      <c r="O38" s="3"/>
      <c r="R38" s="2">
        <v>35</v>
      </c>
      <c r="S38" s="2" t="s">
        <v>397</v>
      </c>
      <c r="T38" s="2" t="s">
        <v>183</v>
      </c>
      <c r="U38" s="2" t="s">
        <v>398</v>
      </c>
      <c r="V38" s="2">
        <v>2004</v>
      </c>
      <c r="W38" s="2" t="s">
        <v>171</v>
      </c>
      <c r="X38" s="2" t="s">
        <v>172</v>
      </c>
      <c r="Y38" s="2" t="s">
        <v>9</v>
      </c>
      <c r="AF38" s="2" t="str">
        <f>TRIM(_xlfn.CONCAT(W38," ",X38," ",Y38," ",Z38," ",AA38," ",AB38," ",AC38," ",AD38," ",AE38))</f>
        <v>C.D.E Pacífico Salvamento</v>
      </c>
      <c r="AG38" s="3">
        <v>9.240740740740741E-2</v>
      </c>
      <c r="AH38" s="3"/>
      <c r="AK38" s="2">
        <v>36</v>
      </c>
      <c r="AL38" s="2" t="s">
        <v>14</v>
      </c>
      <c r="AM38" s="2" t="s">
        <v>621</v>
      </c>
      <c r="AN38" s="2" t="s">
        <v>622</v>
      </c>
      <c r="AO38" s="2">
        <v>1978</v>
      </c>
      <c r="AP38" s="2" t="s">
        <v>2</v>
      </c>
      <c r="AQ38" s="2" t="s">
        <v>4</v>
      </c>
      <c r="AR38" s="2" t="s">
        <v>43</v>
      </c>
      <c r="AS38" s="2" t="s">
        <v>153</v>
      </c>
      <c r="AY38" s="2" t="str">
        <f>TRIM(_xlfn.CONCAT(AP38," ",AQ38," ",AR38," ",AS38," ",AT38," ",AU38," ",AV38," ",AW38," ",AX38))</f>
        <v>Club Natación SOS Bétera</v>
      </c>
      <c r="AZ38" s="3">
        <v>0.12945601851851851</v>
      </c>
      <c r="BA38" s="3"/>
      <c r="BB38" s="2">
        <v>7</v>
      </c>
      <c r="BD38" s="2">
        <v>11</v>
      </c>
      <c r="BE38" s="2" t="s">
        <v>240</v>
      </c>
      <c r="BF38" s="2" t="s">
        <v>760</v>
      </c>
      <c r="BG38" s="2" t="s">
        <v>481</v>
      </c>
      <c r="BH38" s="2">
        <v>1982</v>
      </c>
      <c r="BI38" s="2" t="s">
        <v>162</v>
      </c>
      <c r="BJ38" s="2" t="s">
        <v>2</v>
      </c>
      <c r="BK38" s="2" t="s">
        <v>163</v>
      </c>
      <c r="BL38" s="2" t="s">
        <v>63</v>
      </c>
      <c r="BM38" s="2" t="s">
        <v>164</v>
      </c>
      <c r="BR38" s="2" t="str">
        <f>TRIM(_xlfn.CONCAT(BI38," ",BJ38," ",BK38," ",BL38," ",BM38," ",BN38," ",BO38," ",BP38," ",BQ38))</f>
        <v>Real Club Náutico de Tenerife</v>
      </c>
      <c r="BS38" s="3" t="s">
        <v>264</v>
      </c>
      <c r="BT38" s="3"/>
    </row>
    <row r="39" spans="1:73" x14ac:dyDescent="0.6">
      <c r="A39" s="2">
        <v>36</v>
      </c>
      <c r="B39" s="2" t="s">
        <v>64</v>
      </c>
      <c r="C39" s="2" t="s">
        <v>65</v>
      </c>
      <c r="D39" s="2" t="s">
        <v>21</v>
      </c>
      <c r="E39" s="2">
        <v>2008</v>
      </c>
      <c r="F39" s="2" t="s">
        <v>2</v>
      </c>
      <c r="G39" s="2" t="s">
        <v>22</v>
      </c>
      <c r="H39" s="2" t="s">
        <v>23</v>
      </c>
      <c r="M39" s="2" t="str">
        <f>TRIM(_xlfn.CONCAT(F39," ",G39," ",H39," ",I39," ",J39," ",K39," ",L39))</f>
        <v>Club Natació Banyoles</v>
      </c>
      <c r="N39" s="3">
        <v>0.10481481481481482</v>
      </c>
      <c r="O39" s="3"/>
      <c r="R39" s="2">
        <v>36</v>
      </c>
      <c r="S39" s="2" t="s">
        <v>14</v>
      </c>
      <c r="T39" s="2" t="s">
        <v>399</v>
      </c>
      <c r="U39" s="2" t="s">
        <v>431</v>
      </c>
      <c r="V39" s="2">
        <v>2003</v>
      </c>
      <c r="W39" s="2" t="s">
        <v>355</v>
      </c>
      <c r="X39" s="2" t="s">
        <v>370</v>
      </c>
      <c r="Y39" s="2" t="s">
        <v>358</v>
      </c>
      <c r="Z39" s="2" t="s">
        <v>9</v>
      </c>
      <c r="AA39" s="2" t="s">
        <v>10</v>
      </c>
      <c r="AB39" s="2" t="s">
        <v>11</v>
      </c>
      <c r="AC39" s="2" t="s">
        <v>12</v>
      </c>
      <c r="AF39" s="2" t="str">
        <f>TRIM(_xlfn.CONCAT(W39," ",X39," ",Y39," ",Z39," ",AA39," ",AB39," ",AC39," ",AD39," ",AE39))</f>
        <v>C lu b Salvamento Arteixo - SALVAR</v>
      </c>
      <c r="AG39" s="3">
        <v>9.2453703703703705E-2</v>
      </c>
      <c r="AH39" s="3"/>
      <c r="AK39" s="2">
        <v>37</v>
      </c>
      <c r="AL39" s="2" t="s">
        <v>383</v>
      </c>
      <c r="AM39" s="2" t="s">
        <v>623</v>
      </c>
      <c r="AN39" s="2" t="s">
        <v>624</v>
      </c>
      <c r="AO39" s="2">
        <v>1976</v>
      </c>
      <c r="AP39" s="2" t="s">
        <v>171</v>
      </c>
      <c r="AQ39" s="2" t="s">
        <v>602</v>
      </c>
      <c r="AR39" s="2" t="s">
        <v>603</v>
      </c>
      <c r="AY39" s="2" t="str">
        <f>TRIM(_xlfn.CONCAT(AP39," ",AQ39," ",AR39," ",AS39," ",AT39," ",AU39," ",AV39," ",AW39," ",AX39))</f>
        <v>C.D.E Máster Arganda</v>
      </c>
      <c r="AZ39" s="3">
        <v>0.13181712962962963</v>
      </c>
      <c r="BA39" s="3"/>
      <c r="BB39" s="2">
        <v>6</v>
      </c>
      <c r="BD39" s="2">
        <v>1</v>
      </c>
      <c r="BE39" s="2" t="s">
        <v>31</v>
      </c>
      <c r="BF39" s="2" t="s">
        <v>761</v>
      </c>
      <c r="BG39" s="2" t="s">
        <v>428</v>
      </c>
      <c r="BH39" s="2">
        <v>1976</v>
      </c>
      <c r="BI39" s="2" t="s">
        <v>572</v>
      </c>
      <c r="BJ39" s="2" t="s">
        <v>573</v>
      </c>
      <c r="BK39" s="2" t="s">
        <v>574</v>
      </c>
      <c r="BL39" s="2" t="s">
        <v>575</v>
      </c>
      <c r="BR39" s="2" t="str">
        <f>TRIM(_xlfn.CONCAT(BI39," ",BJ39," ",BK39," ",BL39," ",BM39," ",BN39," ",BO39," ",BP39," ",BQ39))</f>
        <v>Loredo Surf Life Saving</v>
      </c>
      <c r="BS39" s="3">
        <v>0.10107638888888888</v>
      </c>
      <c r="BT39" s="3"/>
      <c r="BU39" s="2">
        <v>20</v>
      </c>
    </row>
    <row r="40" spans="1:73" x14ac:dyDescent="0.6">
      <c r="A40" s="2">
        <v>37</v>
      </c>
      <c r="B40" s="2" t="s">
        <v>141</v>
      </c>
      <c r="C40" s="2" t="s">
        <v>142</v>
      </c>
      <c r="D40" s="2" t="s">
        <v>103</v>
      </c>
      <c r="E40" s="2">
        <v>2010</v>
      </c>
      <c r="F40" s="2" t="s">
        <v>2</v>
      </c>
      <c r="G40" s="2" t="s">
        <v>63</v>
      </c>
      <c r="H40" s="2" t="s">
        <v>9</v>
      </c>
      <c r="I40" s="2" t="s">
        <v>143</v>
      </c>
      <c r="J40" s="2" t="s">
        <v>11</v>
      </c>
      <c r="K40" s="2" t="s">
        <v>144</v>
      </c>
      <c r="M40" s="2" t="str">
        <f>TRIM(_xlfn.CONCAT(F40," ",G40," ",H40," ",I40," ",J40," ",K40," ",L40))</f>
        <v>Club de Salvamento SVAT - Tarancón</v>
      </c>
      <c r="N40" s="3">
        <v>0.10548611111111111</v>
      </c>
      <c r="O40" s="3"/>
      <c r="R40" s="2">
        <v>37</v>
      </c>
      <c r="S40" s="2" t="s">
        <v>383</v>
      </c>
      <c r="T40" s="2" t="s">
        <v>400</v>
      </c>
      <c r="U40" s="2" t="s">
        <v>332</v>
      </c>
      <c r="V40" s="2">
        <v>2003</v>
      </c>
      <c r="W40" s="2" t="s">
        <v>2</v>
      </c>
      <c r="X40" s="2" t="s">
        <v>3</v>
      </c>
      <c r="Y40" s="2" t="s">
        <v>4</v>
      </c>
      <c r="Z40" s="2" t="s">
        <v>5</v>
      </c>
      <c r="AF40" s="2" t="str">
        <f>TRIM(_xlfn.CONCAT(W40," ",X40," ",Y40," ",Z40," ",AA40," ",AB40," ",AC40," ",AD40," ",AE40))</f>
        <v>Club Deportivo Natación Aldaia</v>
      </c>
      <c r="AG40" s="3">
        <v>9.2650462962962962E-2</v>
      </c>
      <c r="AH40" s="3"/>
      <c r="AK40" s="2">
        <v>38</v>
      </c>
      <c r="AL40" s="2" t="s">
        <v>401</v>
      </c>
      <c r="AM40" s="2" t="s">
        <v>111</v>
      </c>
      <c r="AN40" s="2" t="s">
        <v>689</v>
      </c>
      <c r="AO40" s="2">
        <v>1976</v>
      </c>
      <c r="AP40" s="2" t="s">
        <v>567</v>
      </c>
      <c r="AQ40" s="2" t="s">
        <v>9</v>
      </c>
      <c r="AR40" s="2" t="s">
        <v>568</v>
      </c>
      <c r="AY40" s="2" t="str">
        <f>TRIM(_xlfn.CONCAT(AP40," ",AQ40," ",AR40," ",AS40," ",AT40," ",AU40," ",AV40," ",AW40," ",AX40))</f>
        <v>Escuela Salvamento Almendralejo</v>
      </c>
      <c r="AZ40" s="3">
        <v>0.13495370370370371</v>
      </c>
      <c r="BA40" s="3"/>
      <c r="BB40" s="2">
        <v>5</v>
      </c>
      <c r="BD40" s="2">
        <v>2</v>
      </c>
      <c r="BE40" s="2" t="s">
        <v>451</v>
      </c>
      <c r="BF40" s="2" t="s">
        <v>762</v>
      </c>
      <c r="BG40" s="2" t="s">
        <v>502</v>
      </c>
      <c r="BH40" s="2">
        <v>1976</v>
      </c>
      <c r="BI40" s="2" t="s">
        <v>62</v>
      </c>
      <c r="BJ40" s="2" t="s">
        <v>63</v>
      </c>
      <c r="BK40" s="2" t="s">
        <v>9</v>
      </c>
      <c r="BL40" s="2" t="s">
        <v>27</v>
      </c>
      <c r="BM40" s="2" t="s">
        <v>28</v>
      </c>
      <c r="BR40" s="2" t="str">
        <f>TRIM(_xlfn.CONCAT(BI40," ",BJ40," ",BK40," ",BL40," ",BM40," ",BN40," ",BO40," ",BP40," ",BQ40))</f>
        <v>Alcarreño de Salvamento y Socorrismo</v>
      </c>
      <c r="BS40" s="3">
        <v>0.10209490740740741</v>
      </c>
      <c r="BT40" s="3"/>
      <c r="BU40" s="2">
        <v>18</v>
      </c>
    </row>
    <row r="41" spans="1:73" x14ac:dyDescent="0.6">
      <c r="A41" s="2">
        <v>38</v>
      </c>
      <c r="B41" s="2" t="s">
        <v>145</v>
      </c>
      <c r="C41" s="2" t="s">
        <v>146</v>
      </c>
      <c r="D41" s="2" t="s">
        <v>147</v>
      </c>
      <c r="E41" s="2">
        <v>2010</v>
      </c>
      <c r="F41" s="2" t="s">
        <v>2</v>
      </c>
      <c r="G41" s="2" t="s">
        <v>22</v>
      </c>
      <c r="H41" s="2" t="s">
        <v>23</v>
      </c>
      <c r="M41" s="2" t="str">
        <f>TRIM(_xlfn.CONCAT(F41," ",G41," ",H41," ",I41," ",J41," ",K41," ",L41))</f>
        <v>Club Natació Banyoles</v>
      </c>
      <c r="N41" s="3">
        <v>0.10561342592592593</v>
      </c>
      <c r="O41" s="3"/>
      <c r="R41" s="2">
        <v>38</v>
      </c>
      <c r="S41" s="2" t="s">
        <v>401</v>
      </c>
      <c r="T41" s="2" t="s">
        <v>71</v>
      </c>
      <c r="U41" s="2" t="s">
        <v>402</v>
      </c>
      <c r="V41" s="2">
        <v>2006</v>
      </c>
      <c r="W41" s="2" t="s">
        <v>355</v>
      </c>
      <c r="X41" s="2" t="s">
        <v>403</v>
      </c>
      <c r="Y41" s="2" t="s">
        <v>404</v>
      </c>
      <c r="Z41" s="2" t="s">
        <v>403</v>
      </c>
      <c r="AA41" s="2" t="s">
        <v>405</v>
      </c>
      <c r="AB41" s="2" t="s">
        <v>172</v>
      </c>
      <c r="AC41" s="2" t="s">
        <v>9</v>
      </c>
      <c r="AF41" s="2" t="str">
        <f>TRIM(_xlfn.CONCAT(W41," ",X41," ",Y41," ",Z41," ",AA41," ",AB41," ",AC41," ",AD41," ",AE41))</f>
        <v>C . D . E Pacífico Salvamento</v>
      </c>
      <c r="AG41" s="3">
        <v>9.3055555555555558E-2</v>
      </c>
      <c r="AH41" s="3"/>
      <c r="AK41" s="2">
        <v>39</v>
      </c>
      <c r="AL41" s="2" t="s">
        <v>406</v>
      </c>
      <c r="AM41" s="2" t="s">
        <v>625</v>
      </c>
      <c r="AN41" s="2" t="s">
        <v>626</v>
      </c>
      <c r="AO41" s="2">
        <v>1980</v>
      </c>
      <c r="AP41" s="2" t="s">
        <v>2</v>
      </c>
      <c r="AQ41" s="2" t="s">
        <v>22</v>
      </c>
      <c r="AR41" s="2" t="s">
        <v>104</v>
      </c>
      <c r="AS41" s="2" t="s">
        <v>105</v>
      </c>
      <c r="AY41" s="2" t="str">
        <f>TRIM(_xlfn.CONCAT(AP41," ",AQ41," ",AR41," ",AS41," ",AT41," ",AU41," ",AV41," ",AW41," ",AX41))</f>
        <v>Club Natació Reus Ploms</v>
      </c>
      <c r="AZ41" s="3">
        <v>0.13903935185185184</v>
      </c>
      <c r="BA41" s="3"/>
      <c r="BB41" s="2">
        <v>4</v>
      </c>
      <c r="BD41" s="2">
        <v>3</v>
      </c>
      <c r="BE41" s="2" t="s">
        <v>141</v>
      </c>
      <c r="BF41" s="2" t="s">
        <v>141</v>
      </c>
      <c r="BG41" s="2" t="s">
        <v>878</v>
      </c>
      <c r="BH41" s="2">
        <v>1976</v>
      </c>
      <c r="BI41" s="2" t="s">
        <v>2</v>
      </c>
      <c r="BJ41" s="2" t="s">
        <v>4</v>
      </c>
      <c r="BK41" s="2" t="s">
        <v>27</v>
      </c>
      <c r="BL41" s="2" t="s">
        <v>9</v>
      </c>
      <c r="BM41" s="2" t="s">
        <v>75</v>
      </c>
      <c r="BR41" s="2" t="str">
        <f>TRIM(_xlfn.CONCAT(BI41," ",BJ41," ",BK41," ",BL41," ",BM41," ",BN41," ",BO41," ",BP41," ",BQ41))</f>
        <v>Club Natación y Salvamento Albasit</v>
      </c>
      <c r="BS41" s="3">
        <v>0.10582175925925925</v>
      </c>
      <c r="BT41" s="3"/>
      <c r="BU41" s="2">
        <v>16</v>
      </c>
    </row>
    <row r="42" spans="1:73" x14ac:dyDescent="0.6">
      <c r="A42" s="2">
        <v>39</v>
      </c>
      <c r="B42" s="2" t="s">
        <v>291</v>
      </c>
      <c r="C42" s="2" t="s">
        <v>149</v>
      </c>
      <c r="D42" s="2" t="s">
        <v>21</v>
      </c>
      <c r="E42" s="2">
        <v>2006</v>
      </c>
      <c r="F42" s="2" t="s">
        <v>2</v>
      </c>
      <c r="G42" s="2" t="s">
        <v>4</v>
      </c>
      <c r="H42" s="2" t="s">
        <v>55</v>
      </c>
      <c r="M42" s="2" t="str">
        <f>TRIM(_xlfn.CONCAT(F42," ",G42," ",H42," ",I42," ",J42," ",K42," ",L42))</f>
        <v>Club Natación Guadalajara</v>
      </c>
      <c r="N42" s="3">
        <v>0.1059837962962963</v>
      </c>
      <c r="O42" s="3"/>
      <c r="R42" s="2">
        <v>39</v>
      </c>
      <c r="S42" s="2" t="s">
        <v>406</v>
      </c>
      <c r="T42" s="2" t="s">
        <v>407</v>
      </c>
      <c r="U42" s="2" t="s">
        <v>408</v>
      </c>
      <c r="V42" s="2">
        <v>2010</v>
      </c>
      <c r="W42" s="2" t="s">
        <v>2</v>
      </c>
      <c r="X42" s="2" t="s">
        <v>22</v>
      </c>
      <c r="Y42" s="2" t="s">
        <v>104</v>
      </c>
      <c r="Z42" s="2" t="s">
        <v>105</v>
      </c>
      <c r="AF42" s="2" t="str">
        <f>TRIM(_xlfn.CONCAT(W42," ",X42," ",Y42," ",Z42," ",AA42," ",AB42," ",AC42," ",AD42," ",AE42))</f>
        <v>Club Natació Reus Ploms</v>
      </c>
      <c r="AG42" s="3">
        <v>9.3333333333333338E-2</v>
      </c>
      <c r="AH42" s="3"/>
      <c r="AK42" s="2">
        <v>40</v>
      </c>
      <c r="AL42" s="2" t="s">
        <v>409</v>
      </c>
      <c r="AM42" s="2" t="s">
        <v>627</v>
      </c>
      <c r="AN42" s="2" t="s">
        <v>271</v>
      </c>
      <c r="AO42" s="2">
        <v>1979</v>
      </c>
      <c r="AP42" s="2" t="s">
        <v>628</v>
      </c>
      <c r="AQ42" s="2" t="s">
        <v>629</v>
      </c>
      <c r="AR42" s="2" t="s">
        <v>9</v>
      </c>
      <c r="AY42" s="2" t="str">
        <f>TRIM(_xlfn.CONCAT(AP42," ",AQ42," ",AR42," ",AS42," ",AT42," ",AU42," ",AV42," ",AW42," ",AX42))</f>
        <v>C.A. Teleno Salvamento</v>
      </c>
      <c r="AZ42" s="3">
        <v>0.14930555555555555</v>
      </c>
      <c r="BA42" s="3"/>
      <c r="BB42" s="2">
        <v>3</v>
      </c>
      <c r="BD42" s="2">
        <v>4</v>
      </c>
      <c r="BE42" s="2" t="s">
        <v>879</v>
      </c>
      <c r="BF42" s="2" t="s">
        <v>763</v>
      </c>
      <c r="BG42" s="2" t="s">
        <v>308</v>
      </c>
      <c r="BH42" s="2">
        <v>1978</v>
      </c>
      <c r="BI42" s="2" t="s">
        <v>4</v>
      </c>
      <c r="BJ42" s="2" t="s">
        <v>635</v>
      </c>
      <c r="BR42" s="2" t="str">
        <f>TRIM(_xlfn.CONCAT(BI42," ",BJ42," ",BK42," ",BL42," ",BM42," ",BN42," ",BO42," ",BP42," ",BQ42))</f>
        <v>Natación RACE</v>
      </c>
      <c r="BS42" s="3">
        <v>0.10589120370370371</v>
      </c>
      <c r="BT42" s="3"/>
      <c r="BU42" s="2">
        <v>14</v>
      </c>
    </row>
    <row r="43" spans="1:73" x14ac:dyDescent="0.6">
      <c r="A43" s="2">
        <v>40</v>
      </c>
      <c r="B43" s="2" t="s">
        <v>150</v>
      </c>
      <c r="C43" s="2" t="s">
        <v>151</v>
      </c>
      <c r="D43" s="2" t="s">
        <v>152</v>
      </c>
      <c r="E43" s="2">
        <v>2009</v>
      </c>
      <c r="F43" s="2" t="s">
        <v>2</v>
      </c>
      <c r="G43" s="2" t="s">
        <v>4</v>
      </c>
      <c r="H43" s="2" t="s">
        <v>43</v>
      </c>
      <c r="I43" s="2" t="s">
        <v>153</v>
      </c>
      <c r="M43" s="2" t="str">
        <f>TRIM(_xlfn.CONCAT(F43," ",G43," ",H43," ",I43," ",J43," ",K43," ",L43))</f>
        <v>Club Natación SOS Bétera</v>
      </c>
      <c r="N43" s="3">
        <v>0.10560185185185185</v>
      </c>
      <c r="O43" s="3"/>
      <c r="R43" s="2">
        <v>40</v>
      </c>
      <c r="S43" s="2" t="s">
        <v>409</v>
      </c>
      <c r="T43" s="2" t="s">
        <v>111</v>
      </c>
      <c r="U43" s="2" t="s">
        <v>410</v>
      </c>
      <c r="V43" s="2">
        <v>2008</v>
      </c>
      <c r="W43" s="2" t="s">
        <v>91</v>
      </c>
      <c r="X43" s="2" t="s">
        <v>92</v>
      </c>
      <c r="Y43" s="2" t="s">
        <v>93</v>
      </c>
      <c r="Z43" s="2" t="s">
        <v>63</v>
      </c>
      <c r="AA43" s="2" t="s">
        <v>94</v>
      </c>
      <c r="AF43" s="2" t="str">
        <f>TRIM(_xlfn.CONCAT(W43," ",X43," ",Y43," ",Z43," ",AA43," ",AB43," ",AC43," ",AD43," ",AE43))</f>
        <v>Sos Pielagos Playas de Cantabria</v>
      </c>
      <c r="AG43" s="3">
        <v>9.3391203703703699E-2</v>
      </c>
      <c r="AH43" s="3"/>
      <c r="AK43" s="2">
        <v>41</v>
      </c>
      <c r="AL43" s="2" t="s">
        <v>411</v>
      </c>
      <c r="AM43" s="2" t="s">
        <v>630</v>
      </c>
      <c r="AN43" s="2" t="s">
        <v>631</v>
      </c>
      <c r="AO43" s="2">
        <v>1978</v>
      </c>
      <c r="AP43" s="2" t="s">
        <v>2</v>
      </c>
      <c r="AQ43" s="2" t="s">
        <v>3</v>
      </c>
      <c r="AR43" s="2" t="s">
        <v>33</v>
      </c>
      <c r="AS43" s="2" t="s">
        <v>34</v>
      </c>
      <c r="AY43" s="2" t="str">
        <f>TRIM(_xlfn.CONCAT(AP43," ",AQ43," ",AR43," ",AS43," ",AT43," ",AU43," ",AV43," ",AW43," ",AX43))</f>
        <v>Club Deportivo Oca S.O.S</v>
      </c>
      <c r="AZ43" s="3">
        <v>0.16017361111111111</v>
      </c>
      <c r="BA43" s="3"/>
      <c r="BB43" s="2">
        <v>2</v>
      </c>
      <c r="BD43" s="2">
        <v>5</v>
      </c>
      <c r="BE43" s="2" t="s">
        <v>462</v>
      </c>
      <c r="BF43" s="2" t="s">
        <v>537</v>
      </c>
      <c r="BG43" s="2" t="s">
        <v>440</v>
      </c>
      <c r="BH43" s="2">
        <v>1978</v>
      </c>
      <c r="BI43" s="2" t="s">
        <v>466</v>
      </c>
      <c r="BJ43" s="2" t="s">
        <v>467</v>
      </c>
      <c r="BK43" s="2" t="s">
        <v>34</v>
      </c>
      <c r="BR43" s="2" t="str">
        <f>TRIM(_xlfn.CONCAT(BI43," ",BJ43," ",BK43," ",BL43," ",BM43," ",BN43," ",BO43," ",BP43," ",BQ43))</f>
        <v>C.D.B. Vallecas S.O.S</v>
      </c>
      <c r="BS43" s="3">
        <v>0.10803240740740741</v>
      </c>
      <c r="BT43" s="3"/>
      <c r="BU43" s="2">
        <v>13</v>
      </c>
    </row>
    <row r="44" spans="1:73" x14ac:dyDescent="0.6">
      <c r="A44" s="2">
        <v>41</v>
      </c>
      <c r="B44" s="2" t="s">
        <v>154</v>
      </c>
      <c r="C44" s="2" t="s">
        <v>155</v>
      </c>
      <c r="D44" s="2" t="s">
        <v>156</v>
      </c>
      <c r="E44" s="2">
        <v>2008</v>
      </c>
      <c r="F44" s="2" t="s">
        <v>41</v>
      </c>
      <c r="G44" s="2" t="s">
        <v>42</v>
      </c>
      <c r="H44" s="2" t="s">
        <v>9</v>
      </c>
      <c r="I44" s="2" t="s">
        <v>157</v>
      </c>
      <c r="M44" s="2" t="str">
        <f>TRIM(_xlfn.CONCAT(F44," ",G44," ",H44," ",I44," ",J44," ",K44," ",L44))</f>
        <v>C. D. Salvamento Dragones</v>
      </c>
      <c r="N44" s="3">
        <v>0.105625</v>
      </c>
      <c r="O44" s="3"/>
      <c r="R44" s="2">
        <v>41</v>
      </c>
      <c r="S44" s="2" t="s">
        <v>411</v>
      </c>
      <c r="T44" s="2" t="s">
        <v>412</v>
      </c>
      <c r="U44" s="2" t="s">
        <v>332</v>
      </c>
      <c r="V44" s="2">
        <v>2008</v>
      </c>
      <c r="W44" s="2" t="s">
        <v>2</v>
      </c>
      <c r="X44" s="2" t="s">
        <v>4</v>
      </c>
      <c r="Y44" s="2" t="s">
        <v>27</v>
      </c>
      <c r="Z44" s="2" t="s">
        <v>9</v>
      </c>
      <c r="AA44" s="2" t="s">
        <v>98</v>
      </c>
      <c r="AB44" s="2" t="s">
        <v>99</v>
      </c>
      <c r="AF44" s="2" t="str">
        <f>TRIM(_xlfn.CONCAT(W44," ",X44," ",Y44," ",Z44," ",AA44," ",AB44," ",AC44," ",AD44," ",AE44))</f>
        <v>Club Natación y Salvamento Oriol Imperial</v>
      </c>
      <c r="AG44" s="3">
        <v>9.3460648148148154E-2</v>
      </c>
      <c r="AH44" s="3"/>
      <c r="AK44" s="2">
        <v>42</v>
      </c>
      <c r="AL44" s="2" t="s">
        <v>129</v>
      </c>
      <c r="AM44" s="2" t="s">
        <v>614</v>
      </c>
      <c r="AN44" s="2" t="s">
        <v>54</v>
      </c>
      <c r="AO44" s="2">
        <v>1976</v>
      </c>
      <c r="AP44" s="2" t="s">
        <v>572</v>
      </c>
      <c r="AQ44" s="2" t="s">
        <v>573</v>
      </c>
      <c r="AR44" s="2" t="s">
        <v>574</v>
      </c>
      <c r="AS44" s="2" t="s">
        <v>575</v>
      </c>
      <c r="AY44" s="2" t="str">
        <f>TRIM(_xlfn.CONCAT(AP44," ",AQ44," ",AR44," ",AS44," ",AT44," ",AU44," ",AV44," ",AW44," ",AX44))</f>
        <v>Loredo Surf Life Saving</v>
      </c>
      <c r="AZ44" s="3">
        <v>0.16045138888888888</v>
      </c>
      <c r="BA44" s="3"/>
      <c r="BB44" s="2">
        <v>1</v>
      </c>
      <c r="BD44" s="2">
        <v>6</v>
      </c>
      <c r="BE44" s="2" t="s">
        <v>178</v>
      </c>
      <c r="BF44" s="2" t="s">
        <v>141</v>
      </c>
      <c r="BG44" s="2" t="s">
        <v>764</v>
      </c>
      <c r="BH44" s="2">
        <v>1978</v>
      </c>
      <c r="BI44" s="2" t="s">
        <v>62</v>
      </c>
      <c r="BJ44" s="2" t="s">
        <v>63</v>
      </c>
      <c r="BK44" s="2" t="s">
        <v>9</v>
      </c>
      <c r="BL44" s="2" t="s">
        <v>27</v>
      </c>
      <c r="BM44" s="2" t="s">
        <v>28</v>
      </c>
      <c r="BR44" s="2" t="str">
        <f>TRIM(_xlfn.CONCAT(BI44," ",BJ44," ",BK44," ",BL44," ",BM44," ",BN44," ",BO44," ",BP44," ",BQ44))</f>
        <v>Alcarreño de Salvamento y Socorrismo</v>
      </c>
      <c r="BS44" s="3">
        <v>0.10835648148148148</v>
      </c>
      <c r="BT44" s="3"/>
      <c r="BU44" s="2">
        <v>12</v>
      </c>
    </row>
    <row r="45" spans="1:73" x14ac:dyDescent="0.6">
      <c r="A45" s="2">
        <v>42</v>
      </c>
      <c r="B45" s="2" t="s">
        <v>31</v>
      </c>
      <c r="C45" s="2" t="s">
        <v>52</v>
      </c>
      <c r="D45" s="2" t="s">
        <v>21</v>
      </c>
      <c r="E45" s="2">
        <v>2011</v>
      </c>
      <c r="F45" s="2" t="s">
        <v>2</v>
      </c>
      <c r="G45" s="2" t="s">
        <v>9</v>
      </c>
      <c r="H45" s="2" t="s">
        <v>27</v>
      </c>
      <c r="I45" s="2" t="s">
        <v>28</v>
      </c>
      <c r="J45" s="2" t="s">
        <v>29</v>
      </c>
      <c r="M45" s="2" t="str">
        <f>TRIM(_xlfn.CONCAT(F45," ",G45," ",H45," ",I45," ",J45," ",K45," ",L45))</f>
        <v>Club Salvamento y Socorrismo Benavente</v>
      </c>
      <c r="N45" s="3">
        <v>0.10592592592592592</v>
      </c>
      <c r="O45" s="3"/>
      <c r="R45" s="2">
        <v>42</v>
      </c>
      <c r="S45" s="2" t="s">
        <v>129</v>
      </c>
      <c r="T45" s="2" t="s">
        <v>130</v>
      </c>
      <c r="U45" s="2" t="s">
        <v>413</v>
      </c>
      <c r="V45" s="2">
        <v>2001</v>
      </c>
      <c r="W45" s="2" t="s">
        <v>2</v>
      </c>
      <c r="X45" s="2" t="s">
        <v>22</v>
      </c>
      <c r="Y45" s="2" t="s">
        <v>104</v>
      </c>
      <c r="Z45" s="2" t="s">
        <v>105</v>
      </c>
      <c r="AF45" s="2" t="str">
        <f>TRIM(_xlfn.CONCAT(W45," ",X45," ",Y45," ",Z45," ",AA45," ",AB45," ",AC45," ",AD45," ",AE45))</f>
        <v>Club Natació Reus Ploms</v>
      </c>
      <c r="AG45" s="3">
        <v>9.3518518518518515E-2</v>
      </c>
      <c r="AH45" s="3"/>
      <c r="AK45" s="2">
        <v>43</v>
      </c>
      <c r="AL45" s="2" t="s">
        <v>414</v>
      </c>
      <c r="AM45" s="2" t="s">
        <v>632</v>
      </c>
      <c r="AN45" s="2" t="s">
        <v>613</v>
      </c>
      <c r="AO45" s="2">
        <v>1976</v>
      </c>
      <c r="AP45" s="2" t="s">
        <v>2</v>
      </c>
      <c r="AQ45" s="2" t="s">
        <v>9</v>
      </c>
      <c r="AR45" s="2" t="s">
        <v>633</v>
      </c>
      <c r="AS45" s="2" t="s">
        <v>11</v>
      </c>
      <c r="AT45" s="2" t="s">
        <v>634</v>
      </c>
      <c r="AY45" s="2" t="str">
        <f>TRIM(_xlfn.CONCAT(AP45," ",AQ45," ",AR45," ",AS45," ",AT45," ",AU45," ",AV45," ",AW45," ",AX45))</f>
        <v>Club Salvamento Sada - SASA</v>
      </c>
      <c r="AZ45" s="3">
        <v>0.16083333333333333</v>
      </c>
      <c r="BA45" s="3"/>
      <c r="BD45" s="2">
        <v>7</v>
      </c>
      <c r="BE45" s="2" t="s">
        <v>149</v>
      </c>
      <c r="BF45" s="2" t="s">
        <v>189</v>
      </c>
      <c r="BG45" s="2" t="s">
        <v>880</v>
      </c>
      <c r="BH45" s="2">
        <v>1976</v>
      </c>
      <c r="BI45" s="2" t="s">
        <v>2</v>
      </c>
      <c r="BJ45" s="2" t="s">
        <v>4</v>
      </c>
      <c r="BK45" s="2" t="s">
        <v>27</v>
      </c>
      <c r="BL45" s="2" t="s">
        <v>9</v>
      </c>
      <c r="BM45" s="2" t="s">
        <v>75</v>
      </c>
      <c r="BR45" s="2" t="str">
        <f>TRIM(_xlfn.CONCAT(BI45," ",BJ45," ",BK45," ",BL45," ",BM45," ",BN45," ",BO45," ",BP45," ",BQ45))</f>
        <v>Club Natación y Salvamento Albasit</v>
      </c>
      <c r="BS45" s="3">
        <v>0.10916666666666666</v>
      </c>
      <c r="BT45" s="3"/>
      <c r="BU45" s="2">
        <v>11</v>
      </c>
    </row>
    <row r="46" spans="1:73" x14ac:dyDescent="0.6">
      <c r="A46" s="2">
        <v>43</v>
      </c>
      <c r="B46" s="2" t="s">
        <v>158</v>
      </c>
      <c r="C46" s="2" t="s">
        <v>292</v>
      </c>
      <c r="D46" s="2" t="s">
        <v>26</v>
      </c>
      <c r="E46" s="2">
        <v>2010</v>
      </c>
      <c r="F46" s="2" t="s">
        <v>62</v>
      </c>
      <c r="G46" s="2" t="s">
        <v>63</v>
      </c>
      <c r="H46" s="2" t="s">
        <v>9</v>
      </c>
      <c r="I46" s="2" t="s">
        <v>27</v>
      </c>
      <c r="J46" s="2" t="s">
        <v>28</v>
      </c>
      <c r="M46" s="2" t="str">
        <f>TRIM(_xlfn.CONCAT(F46," ",G46," ",H46," ",I46," ",J46," ",K46," ",L46))</f>
        <v>Alcarreño de Salvamento y Socorrismo</v>
      </c>
      <c r="N46" s="3">
        <v>0.10611111111111111</v>
      </c>
      <c r="O46" s="3"/>
      <c r="R46" s="2">
        <v>43</v>
      </c>
      <c r="S46" s="2" t="s">
        <v>414</v>
      </c>
      <c r="T46" s="2" t="s">
        <v>31</v>
      </c>
      <c r="U46" s="2" t="s">
        <v>415</v>
      </c>
      <c r="V46" s="2">
        <v>2010</v>
      </c>
      <c r="W46" s="2" t="s">
        <v>2</v>
      </c>
      <c r="X46" s="2" t="s">
        <v>4</v>
      </c>
      <c r="Y46" s="2" t="s">
        <v>43</v>
      </c>
      <c r="Z46" s="2" t="s">
        <v>153</v>
      </c>
      <c r="AF46" s="2" t="str">
        <f>TRIM(_xlfn.CONCAT(W46," ",X46," ",Y46," ",Z46," ",AA46," ",AB46," ",AC46," ",AD46," ",AE46))</f>
        <v>Club Natación SOS Bétera</v>
      </c>
      <c r="AG46" s="3">
        <v>9.3703703703703706E-2</v>
      </c>
      <c r="AH46" s="3"/>
      <c r="AK46" s="2">
        <v>44</v>
      </c>
      <c r="AL46" s="2" t="s">
        <v>134</v>
      </c>
      <c r="AM46" s="2" t="s">
        <v>64</v>
      </c>
      <c r="AN46" s="2" t="s">
        <v>271</v>
      </c>
      <c r="AO46" s="2">
        <v>1976</v>
      </c>
      <c r="AP46" s="2" t="s">
        <v>4</v>
      </c>
      <c r="AQ46" s="2" t="s">
        <v>635</v>
      </c>
      <c r="AY46" s="2" t="str">
        <f>TRIM(_xlfn.CONCAT(AP46," ",AQ46," ",AR46," ",AS46," ",AT46," ",AU46," ",AV46," ",AW46," ",AX46))</f>
        <v>Natación RACE</v>
      </c>
      <c r="AZ46" s="3">
        <v>0.16306712962962963</v>
      </c>
      <c r="BA46" s="3"/>
      <c r="BD46" s="2">
        <v>8</v>
      </c>
      <c r="BE46" s="2" t="s">
        <v>765</v>
      </c>
      <c r="BF46" s="2" t="s">
        <v>766</v>
      </c>
      <c r="BH46" s="2">
        <v>1976</v>
      </c>
      <c r="BI46" s="2" t="s">
        <v>171</v>
      </c>
      <c r="BJ46" s="2" t="s">
        <v>172</v>
      </c>
      <c r="BK46" s="2" t="s">
        <v>9</v>
      </c>
      <c r="BR46" s="2" t="str">
        <f>TRIM(_xlfn.CONCAT(BI46," ",BJ46," ",BK46," ",BL46," ",BM46," ",BN46," ",BO46," ",BP46," ",BQ46))</f>
        <v>C.D.E Pacífico Salvamento</v>
      </c>
      <c r="BS46" s="3">
        <v>0.1097337962962963</v>
      </c>
      <c r="BT46" s="3"/>
      <c r="BU46" s="2">
        <v>10</v>
      </c>
    </row>
    <row r="47" spans="1:73" x14ac:dyDescent="0.6">
      <c r="A47" s="2">
        <v>44</v>
      </c>
      <c r="B47" s="2" t="s">
        <v>160</v>
      </c>
      <c r="C47" s="2" t="s">
        <v>161</v>
      </c>
      <c r="D47" s="2" t="s">
        <v>1</v>
      </c>
      <c r="E47" s="2">
        <v>2000</v>
      </c>
      <c r="F47" s="2" t="s">
        <v>162</v>
      </c>
      <c r="G47" s="2" t="s">
        <v>2</v>
      </c>
      <c r="H47" s="2" t="s">
        <v>163</v>
      </c>
      <c r="I47" s="2" t="s">
        <v>63</v>
      </c>
      <c r="J47" s="2" t="s">
        <v>164</v>
      </c>
      <c r="M47" s="2" t="str">
        <f>TRIM(_xlfn.CONCAT(F47," ",G47," ",H47," ",I47," ",J47," ",K47," ",L47))</f>
        <v>Real Club Náutico de Tenerife</v>
      </c>
      <c r="N47" s="3">
        <v>0.10659722222222222</v>
      </c>
      <c r="O47" s="3"/>
      <c r="R47" s="2">
        <v>44</v>
      </c>
      <c r="S47" s="2" t="s">
        <v>134</v>
      </c>
      <c r="T47" s="2" t="s">
        <v>416</v>
      </c>
      <c r="U47" s="2" t="s">
        <v>344</v>
      </c>
      <c r="V47" s="2">
        <v>2009</v>
      </c>
      <c r="W47" s="2" t="s">
        <v>2</v>
      </c>
      <c r="X47" s="2" t="s">
        <v>210</v>
      </c>
      <c r="AF47" s="2" t="str">
        <f>TRIM(_xlfn.CONCAT(W47," ",X47," ",Y47," ",Z47," ",AA47," ",AB47," ",AC47," ",AD47," ",AE47))</f>
        <v>Club Leucante</v>
      </c>
      <c r="AG47" s="3">
        <v>9.3969907407407405E-2</v>
      </c>
      <c r="AH47" s="3"/>
      <c r="AK47" s="2">
        <v>45</v>
      </c>
      <c r="AL47" s="2" t="s">
        <v>417</v>
      </c>
      <c r="AM47" s="2" t="s">
        <v>636</v>
      </c>
      <c r="AN47" s="2" t="s">
        <v>701</v>
      </c>
      <c r="AO47" s="2">
        <v>1976</v>
      </c>
      <c r="AP47" s="2" t="s">
        <v>2</v>
      </c>
      <c r="AQ47" s="2" t="s">
        <v>9</v>
      </c>
      <c r="AR47" s="2" t="s">
        <v>27</v>
      </c>
      <c r="AS47" s="2" t="s">
        <v>28</v>
      </c>
      <c r="AT47" s="2" t="s">
        <v>139</v>
      </c>
      <c r="AU47" s="2" t="s">
        <v>11</v>
      </c>
      <c r="AV47" s="2" t="s">
        <v>140</v>
      </c>
      <c r="AY47" s="2" t="str">
        <f>TRIM(_xlfn.CONCAT(AP47," ",AQ47," ",AR47," ",AS47," ",AT47," ",AU47," ",AV47," ",AW47," ",AX47))</f>
        <v>Club Salvamento y Socorrismo Carballo - SYSCA</v>
      </c>
      <c r="AZ47" s="3">
        <v>0.17605324074074075</v>
      </c>
      <c r="BA47" s="3"/>
      <c r="BD47" s="2">
        <v>9</v>
      </c>
      <c r="BE47" s="2" t="s">
        <v>767</v>
      </c>
      <c r="BF47" s="2" t="s">
        <v>6</v>
      </c>
      <c r="BG47" s="2" t="s">
        <v>308</v>
      </c>
      <c r="BH47" s="2">
        <v>1977</v>
      </c>
      <c r="BI47" s="2" t="s">
        <v>2</v>
      </c>
      <c r="BJ47" s="2" t="s">
        <v>4</v>
      </c>
      <c r="BK47" s="2" t="s">
        <v>27</v>
      </c>
      <c r="BL47" s="2" t="s">
        <v>9</v>
      </c>
      <c r="BM47" s="2" t="s">
        <v>75</v>
      </c>
      <c r="BR47" s="2" t="str">
        <f>TRIM(_xlfn.CONCAT(BI47," ",BJ47," ",BK47," ",BL47," ",BM47," ",BN47," ",BO47," ",BP47," ",BQ47))</f>
        <v>Club Natación y Salvamento Albasit</v>
      </c>
      <c r="BS47" s="3">
        <v>0.11114583333333333</v>
      </c>
      <c r="BT47" s="3"/>
      <c r="BU47" s="2">
        <v>8</v>
      </c>
    </row>
    <row r="48" spans="1:73" x14ac:dyDescent="0.6">
      <c r="A48" s="2">
        <v>45</v>
      </c>
      <c r="B48" s="2" t="s">
        <v>52</v>
      </c>
      <c r="C48" s="2" t="s">
        <v>165</v>
      </c>
      <c r="D48" s="2" t="s">
        <v>166</v>
      </c>
      <c r="E48" s="2">
        <v>2008</v>
      </c>
      <c r="F48" s="2" t="s">
        <v>2</v>
      </c>
      <c r="G48" s="2" t="s">
        <v>93</v>
      </c>
      <c r="H48" s="2" t="s">
        <v>63</v>
      </c>
      <c r="I48" s="2" t="s">
        <v>167</v>
      </c>
      <c r="J48" s="2" t="s">
        <v>168</v>
      </c>
      <c r="M48" s="2" t="str">
        <f>TRIM(_xlfn.CONCAT(F48," ",G48," ",H48," ",I48," ",J48," ",K48," ",L48))</f>
        <v>Club Playas de Castro Urdiales</v>
      </c>
      <c r="N48" s="3">
        <v>0.10651620370370371</v>
      </c>
      <c r="O48" s="3"/>
      <c r="R48" s="2">
        <v>45</v>
      </c>
      <c r="S48" s="2" t="s">
        <v>417</v>
      </c>
      <c r="T48" s="2" t="s">
        <v>176</v>
      </c>
      <c r="U48" s="2" t="s">
        <v>418</v>
      </c>
      <c r="V48" s="2">
        <v>2007</v>
      </c>
      <c r="W48" s="2" t="s">
        <v>2</v>
      </c>
      <c r="X48" s="2" t="s">
        <v>9</v>
      </c>
      <c r="Y48" s="2" t="s">
        <v>10</v>
      </c>
      <c r="Z48" s="2" t="s">
        <v>11</v>
      </c>
      <c r="AA48" s="2" t="s">
        <v>12</v>
      </c>
      <c r="AF48" s="2" t="str">
        <f>TRIM(_xlfn.CONCAT(W48," ",X48," ",Y48," ",Z48," ",AA48," ",AB48," ",AC48," ",AD48," ",AE48))</f>
        <v>Club Salvamento Arteixo - SALVAR</v>
      </c>
      <c r="AG48" s="3">
        <v>9.4247685185185184E-2</v>
      </c>
      <c r="AH48" s="3"/>
      <c r="AK48" s="2">
        <v>46</v>
      </c>
      <c r="AL48" s="2" t="s">
        <v>419</v>
      </c>
      <c r="AM48" s="2" t="s">
        <v>601</v>
      </c>
      <c r="AN48" s="2" t="s">
        <v>637</v>
      </c>
      <c r="AO48" s="2">
        <v>1979</v>
      </c>
      <c r="AP48" s="2" t="s">
        <v>62</v>
      </c>
      <c r="AQ48" s="2" t="s">
        <v>63</v>
      </c>
      <c r="AR48" s="2" t="s">
        <v>9</v>
      </c>
      <c r="AS48" s="2" t="s">
        <v>27</v>
      </c>
      <c r="AT48" s="2" t="s">
        <v>28</v>
      </c>
      <c r="AY48" s="2" t="str">
        <f>TRIM(_xlfn.CONCAT(AP48," ",AQ48," ",AR48," ",AS48," ",AT48," ",AU48," ",AV48," ",AW48," ",AX48))</f>
        <v>Alcarreño de Salvamento y Socorrismo</v>
      </c>
      <c r="AZ48" s="3" t="s">
        <v>264</v>
      </c>
      <c r="BA48" s="3"/>
      <c r="BD48" s="2">
        <v>10</v>
      </c>
      <c r="BE48" s="2" t="s">
        <v>768</v>
      </c>
      <c r="BF48" s="2" t="s">
        <v>769</v>
      </c>
      <c r="BG48" s="2" t="s">
        <v>770</v>
      </c>
      <c r="BH48" s="2">
        <v>1977</v>
      </c>
      <c r="BI48" s="2" t="s">
        <v>41</v>
      </c>
      <c r="BJ48" s="2" t="s">
        <v>42</v>
      </c>
      <c r="BK48" s="2" t="s">
        <v>9</v>
      </c>
      <c r="BL48" s="2" t="s">
        <v>157</v>
      </c>
      <c r="BR48" s="2" t="str">
        <f>TRIM(_xlfn.CONCAT(BI48," ",BJ48," ",BK48," ",BL48," ",BM48," ",BN48," ",BO48," ",BP48," ",BQ48))</f>
        <v>C. D. Salvamento Dragones</v>
      </c>
      <c r="BS48" s="3">
        <v>0.11216435185185185</v>
      </c>
      <c r="BT48" s="3"/>
      <c r="BU48" s="2">
        <v>7</v>
      </c>
    </row>
    <row r="49" spans="1:73" x14ac:dyDescent="0.6">
      <c r="A49" s="2">
        <v>46</v>
      </c>
      <c r="B49" s="2" t="s">
        <v>169</v>
      </c>
      <c r="C49" s="2" t="s">
        <v>52</v>
      </c>
      <c r="D49" s="2" t="s">
        <v>170</v>
      </c>
      <c r="E49" s="2">
        <v>2008</v>
      </c>
      <c r="F49" s="2" t="s">
        <v>171</v>
      </c>
      <c r="G49" s="2" t="s">
        <v>172</v>
      </c>
      <c r="H49" s="2" t="s">
        <v>9</v>
      </c>
      <c r="M49" s="2" t="str">
        <f>TRIM(_xlfn.CONCAT(F49," ",G49," ",H49," ",I49," ",J49," ",K49," ",L49))</f>
        <v>C.D.E Pacífico Salvamento</v>
      </c>
      <c r="N49" s="3">
        <v>0.10681712962962962</v>
      </c>
      <c r="O49" s="3"/>
      <c r="R49" s="2">
        <v>46</v>
      </c>
      <c r="S49" s="2" t="s">
        <v>419</v>
      </c>
      <c r="T49" s="2" t="s">
        <v>420</v>
      </c>
      <c r="U49" s="2" t="s">
        <v>421</v>
      </c>
      <c r="V49" s="2">
        <v>2010</v>
      </c>
      <c r="W49" s="2" t="s">
        <v>2</v>
      </c>
      <c r="X49" s="2" t="s">
        <v>9</v>
      </c>
      <c r="Y49" s="2" t="s">
        <v>27</v>
      </c>
      <c r="Z49" s="2" t="s">
        <v>28</v>
      </c>
      <c r="AA49" s="2" t="s">
        <v>29</v>
      </c>
      <c r="AF49" s="2" t="str">
        <f>TRIM(_xlfn.CONCAT(W49," ",X49," ",Y49," ",Z49," ",AA49," ",AB49," ",AC49," ",AD49," ",AE49))</f>
        <v>Club Salvamento y Socorrismo Benavente</v>
      </c>
      <c r="AG49" s="3">
        <v>9.4340277777777773E-2</v>
      </c>
      <c r="AH49" s="3"/>
      <c r="AK49" s="2">
        <v>47</v>
      </c>
      <c r="AL49" s="2" t="s">
        <v>422</v>
      </c>
      <c r="AM49" s="2" t="s">
        <v>149</v>
      </c>
      <c r="AN49" s="2" t="s">
        <v>112</v>
      </c>
      <c r="AO49" s="2">
        <v>1972</v>
      </c>
      <c r="AP49" s="2" t="s">
        <v>2</v>
      </c>
      <c r="AQ49" s="2" t="s">
        <v>4</v>
      </c>
      <c r="AR49" s="2" t="s">
        <v>27</v>
      </c>
      <c r="AS49" s="2" t="s">
        <v>9</v>
      </c>
      <c r="AT49" s="2" t="s">
        <v>75</v>
      </c>
      <c r="AY49" s="2" t="str">
        <f>TRIM(_xlfn.CONCAT(AP49," ",AQ49," ",AR49," ",AS49," ",AT49," ",AU49," ",AV49," ",AW49," ",AX49))</f>
        <v>Club Natación y Salvamento Albasit</v>
      </c>
      <c r="AZ49" s="3">
        <v>0.11591435185185185</v>
      </c>
      <c r="BA49" s="3"/>
      <c r="BB49" s="2">
        <v>20</v>
      </c>
      <c r="BD49" s="2">
        <v>11</v>
      </c>
      <c r="BE49" s="2" t="s">
        <v>471</v>
      </c>
      <c r="BF49" s="2" t="s">
        <v>771</v>
      </c>
      <c r="BG49" s="2" t="s">
        <v>398</v>
      </c>
      <c r="BH49" s="2">
        <v>1978</v>
      </c>
      <c r="BI49" s="2" t="s">
        <v>2</v>
      </c>
      <c r="BJ49" s="2" t="s">
        <v>4</v>
      </c>
      <c r="BK49" s="2" t="s">
        <v>43</v>
      </c>
      <c r="BL49" s="2" t="s">
        <v>153</v>
      </c>
      <c r="BR49" s="2" t="str">
        <f>TRIM(_xlfn.CONCAT(BI49," ",BJ49," ",BK49," ",BL49," ",BM49," ",BN49," ",BO49," ",BP49," ",BQ49))</f>
        <v>Club Natación SOS Bétera</v>
      </c>
      <c r="BS49" s="3">
        <v>0.11513888888888889</v>
      </c>
      <c r="BT49" s="3"/>
      <c r="BU49" s="2">
        <v>6</v>
      </c>
    </row>
    <row r="50" spans="1:73" x14ac:dyDescent="0.6">
      <c r="A50" s="2">
        <v>47</v>
      </c>
      <c r="B50" s="2" t="s">
        <v>173</v>
      </c>
      <c r="C50" s="2" t="s">
        <v>174</v>
      </c>
      <c r="D50" s="2" t="s">
        <v>166</v>
      </c>
      <c r="E50" s="2">
        <v>2009</v>
      </c>
      <c r="F50" s="2" t="s">
        <v>171</v>
      </c>
      <c r="G50" s="2" t="s">
        <v>172</v>
      </c>
      <c r="H50" s="2" t="s">
        <v>9</v>
      </c>
      <c r="M50" s="2" t="str">
        <f>TRIM(_xlfn.CONCAT(F50," ",G50," ",H50," ",I50," ",J50," ",K50," ",L50))</f>
        <v>C.D.E Pacífico Salvamento</v>
      </c>
      <c r="N50" s="3">
        <v>0.10690972222222223</v>
      </c>
      <c r="O50" s="3"/>
      <c r="R50" s="2">
        <v>47</v>
      </c>
      <c r="S50" s="2" t="s">
        <v>422</v>
      </c>
      <c r="T50" s="2" t="s">
        <v>248</v>
      </c>
      <c r="U50" s="2" t="s">
        <v>423</v>
      </c>
      <c r="V50" s="2">
        <v>2003</v>
      </c>
      <c r="W50" s="2" t="s">
        <v>2</v>
      </c>
      <c r="X50" s="2" t="s">
        <v>93</v>
      </c>
      <c r="Y50" s="2" t="s">
        <v>63</v>
      </c>
      <c r="Z50" s="2" t="s">
        <v>167</v>
      </c>
      <c r="AA50" s="2" t="s">
        <v>168</v>
      </c>
      <c r="AF50" s="2" t="str">
        <f>TRIM(_xlfn.CONCAT(W50," ",X50," ",Y50," ",Z50," ",AA50," ",AB50," ",AC50," ",AD50," ",AE50))</f>
        <v>Club Playas de Castro Urdiales</v>
      </c>
      <c r="AG50" s="3">
        <v>9.4456018518518522E-2</v>
      </c>
      <c r="AH50" s="3"/>
      <c r="AK50" s="2">
        <v>48</v>
      </c>
      <c r="AL50" s="2" t="s">
        <v>424</v>
      </c>
      <c r="AM50" s="2" t="s">
        <v>134</v>
      </c>
      <c r="AN50" s="2" t="s">
        <v>638</v>
      </c>
      <c r="AO50" s="2">
        <v>1975</v>
      </c>
      <c r="AP50" s="2" t="s">
        <v>2</v>
      </c>
      <c r="AQ50" s="2" t="s">
        <v>22</v>
      </c>
      <c r="AR50" s="2" t="s">
        <v>104</v>
      </c>
      <c r="AS50" s="2" t="s">
        <v>105</v>
      </c>
      <c r="AY50" s="2" t="str">
        <f>TRIM(_xlfn.CONCAT(AP50," ",AQ50," ",AR50," ",AS50," ",AT50," ",AU50," ",AV50," ",AW50," ",AX50))</f>
        <v>Club Natació Reus Ploms</v>
      </c>
      <c r="AZ50" s="3">
        <v>0.11642361111111112</v>
      </c>
      <c r="BA50" s="3"/>
      <c r="BB50" s="2">
        <v>18</v>
      </c>
      <c r="BD50" s="2">
        <v>12</v>
      </c>
      <c r="BE50" s="2" t="s">
        <v>772</v>
      </c>
      <c r="BF50" s="2" t="s">
        <v>141</v>
      </c>
      <c r="BG50" s="2" t="s">
        <v>743</v>
      </c>
      <c r="BH50" s="2">
        <v>1978</v>
      </c>
      <c r="BI50" s="2" t="s">
        <v>572</v>
      </c>
      <c r="BJ50" s="2" t="s">
        <v>573</v>
      </c>
      <c r="BK50" s="2" t="s">
        <v>574</v>
      </c>
      <c r="BL50" s="2" t="s">
        <v>575</v>
      </c>
      <c r="BR50" s="2" t="str">
        <f>TRIM(_xlfn.CONCAT(BI50," ",BJ50," ",BK50," ",BL50," ",BM50," ",BN50," ",BO50," ",BP50," ",BQ50))</f>
        <v>Loredo Surf Life Saving</v>
      </c>
      <c r="BS50" s="3">
        <v>0.11701388888888889</v>
      </c>
      <c r="BT50" s="3"/>
      <c r="BU50" s="2">
        <v>5</v>
      </c>
    </row>
    <row r="51" spans="1:73" x14ac:dyDescent="0.6">
      <c r="A51" s="2">
        <v>48</v>
      </c>
      <c r="B51" s="2" t="s">
        <v>175</v>
      </c>
      <c r="C51" s="2" t="s">
        <v>176</v>
      </c>
      <c r="D51" s="2" t="s">
        <v>112</v>
      </c>
      <c r="E51" s="2">
        <v>2010</v>
      </c>
      <c r="F51" s="2" t="s">
        <v>2</v>
      </c>
      <c r="G51" s="2" t="s">
        <v>108</v>
      </c>
      <c r="H51" s="2" t="s">
        <v>109</v>
      </c>
      <c r="M51" s="2" t="str">
        <f>TRIM(_xlfn.CONCAT(F51," ",G51," ",H51," ",I51," ",J51," ",K51," ",L51))</f>
        <v>Club A.C.N. Marisma</v>
      </c>
      <c r="N51" s="3">
        <v>0.1075</v>
      </c>
      <c r="O51" s="3"/>
      <c r="R51" s="2">
        <v>48</v>
      </c>
      <c r="S51" s="2" t="s">
        <v>424</v>
      </c>
      <c r="T51" s="2" t="s">
        <v>425</v>
      </c>
      <c r="U51" s="2" t="s">
        <v>344</v>
      </c>
      <c r="V51" s="2">
        <v>2004</v>
      </c>
      <c r="W51" s="2" t="s">
        <v>2</v>
      </c>
      <c r="X51" s="2" t="s">
        <v>4</v>
      </c>
      <c r="Y51" s="2" t="s">
        <v>43</v>
      </c>
      <c r="Z51" s="2" t="s">
        <v>153</v>
      </c>
      <c r="AF51" s="2" t="str">
        <f>TRIM(_xlfn.CONCAT(W51," ",X51," ",Y51," ",Z51," ",AA51," ",AB51," ",AC51," ",AD51," ",AE51))</f>
        <v>Club Natación SOS Bétera</v>
      </c>
      <c r="AG51" s="3">
        <v>9.4780092592592596E-2</v>
      </c>
      <c r="AH51" s="3"/>
      <c r="AK51" s="2">
        <v>49</v>
      </c>
      <c r="AL51" s="2" t="s">
        <v>426</v>
      </c>
      <c r="AM51" s="2" t="s">
        <v>229</v>
      </c>
      <c r="AN51" s="2" t="s">
        <v>702</v>
      </c>
      <c r="AO51" s="2">
        <v>1972</v>
      </c>
      <c r="AP51" s="2" t="s">
        <v>4</v>
      </c>
      <c r="AQ51" s="2" t="s">
        <v>635</v>
      </c>
      <c r="AY51" s="2" t="str">
        <f>TRIM(_xlfn.CONCAT(AP51," ",AQ51," ",AR51," ",AS51," ",AT51," ",AU51," ",AV51," ",AW51," ",AX51))</f>
        <v>Natación RACE</v>
      </c>
      <c r="AZ51" s="3">
        <v>0.11755787037037037</v>
      </c>
      <c r="BA51" s="3"/>
      <c r="BB51" s="2">
        <v>16</v>
      </c>
      <c r="BD51" s="2">
        <v>13</v>
      </c>
      <c r="BE51" s="2" t="s">
        <v>773</v>
      </c>
      <c r="BF51" s="2" t="s">
        <v>774</v>
      </c>
      <c r="BG51" s="2" t="s">
        <v>775</v>
      </c>
      <c r="BH51" s="2">
        <v>1978</v>
      </c>
      <c r="BI51" s="2" t="s">
        <v>2</v>
      </c>
      <c r="BJ51" s="2" t="s">
        <v>3</v>
      </c>
      <c r="BK51" s="2" t="s">
        <v>33</v>
      </c>
      <c r="BL51" s="2" t="s">
        <v>34</v>
      </c>
      <c r="BR51" s="2" t="str">
        <f>TRIM(_xlfn.CONCAT(BI51," ",BJ51," ",BK51," ",BL51," ",BM51," ",BN51," ",BO51," ",BP51," ",BQ51))</f>
        <v>Club Deportivo Oca S.O.S</v>
      </c>
      <c r="BS51" s="3">
        <v>0.12017361111111111</v>
      </c>
      <c r="BT51" s="3"/>
      <c r="BU51" s="2">
        <v>4</v>
      </c>
    </row>
    <row r="52" spans="1:73" x14ac:dyDescent="0.6">
      <c r="A52" s="2">
        <v>49</v>
      </c>
      <c r="B52" s="2" t="s">
        <v>177</v>
      </c>
      <c r="C52" s="2" t="s">
        <v>141</v>
      </c>
      <c r="D52" s="2" t="s">
        <v>8</v>
      </c>
      <c r="E52" s="2">
        <v>2009</v>
      </c>
      <c r="F52" s="2" t="s">
        <v>2</v>
      </c>
      <c r="G52" s="2" t="s">
        <v>4</v>
      </c>
      <c r="H52" s="2" t="s">
        <v>27</v>
      </c>
      <c r="I52" s="2" t="s">
        <v>9</v>
      </c>
      <c r="J52" s="2" t="s">
        <v>98</v>
      </c>
      <c r="K52" s="2" t="s">
        <v>99</v>
      </c>
      <c r="M52" s="2" t="str">
        <f>TRIM(_xlfn.CONCAT(F52," ",G52," ",H52," ",I52," ",J52," ",K52," ",L52))</f>
        <v>Club Natación y Salvamento Oriol Imperial</v>
      </c>
      <c r="N52" s="3">
        <v>0.1076388888888889</v>
      </c>
      <c r="O52" s="3"/>
      <c r="R52" s="2">
        <v>49</v>
      </c>
      <c r="S52" s="2" t="s">
        <v>426</v>
      </c>
      <c r="T52" s="2" t="s">
        <v>186</v>
      </c>
      <c r="U52" s="2" t="s">
        <v>427</v>
      </c>
      <c r="V52" s="2">
        <v>2005</v>
      </c>
      <c r="W52" s="2" t="s">
        <v>2</v>
      </c>
      <c r="X52" s="2" t="s">
        <v>93</v>
      </c>
      <c r="Y52" s="2" t="s">
        <v>63</v>
      </c>
      <c r="Z52" s="2" t="s">
        <v>167</v>
      </c>
      <c r="AA52" s="2" t="s">
        <v>168</v>
      </c>
      <c r="AF52" s="2" t="str">
        <f>TRIM(_xlfn.CONCAT(W52," ",X52," ",Y52," ",Z52," ",AA52," ",AB52," ",AC52," ",AD52," ",AE52))</f>
        <v>Club Playas de Castro Urdiales</v>
      </c>
      <c r="AG52" s="3">
        <v>9.481481481481481E-2</v>
      </c>
      <c r="AH52" s="3"/>
      <c r="AK52" s="2">
        <v>50</v>
      </c>
      <c r="AL52" s="2" t="s">
        <v>428</v>
      </c>
      <c r="AM52" s="2" t="s">
        <v>214</v>
      </c>
      <c r="AN52" s="2" t="s">
        <v>639</v>
      </c>
      <c r="AO52" s="2">
        <v>1972</v>
      </c>
      <c r="AP52" s="2" t="s">
        <v>171</v>
      </c>
      <c r="AQ52" s="2" t="s">
        <v>602</v>
      </c>
      <c r="AR52" s="2" t="s">
        <v>603</v>
      </c>
      <c r="AY52" s="2" t="str">
        <f>TRIM(_xlfn.CONCAT(AP52," ",AQ52," ",AR52," ",AS52," ",AT52," ",AU52," ",AV52," ",AW52," ",AX52))</f>
        <v>C.D.E Máster Arganda</v>
      </c>
      <c r="AZ52" s="3">
        <v>0.12782407407407406</v>
      </c>
      <c r="BA52" s="3"/>
      <c r="BB52" s="2">
        <v>14</v>
      </c>
      <c r="BD52" s="2">
        <v>14</v>
      </c>
      <c r="BE52" s="2" t="s">
        <v>111</v>
      </c>
      <c r="BF52" s="2" t="s">
        <v>186</v>
      </c>
      <c r="BG52" s="2" t="s">
        <v>369</v>
      </c>
      <c r="BH52" s="2">
        <v>1976</v>
      </c>
      <c r="BI52" s="2" t="s">
        <v>171</v>
      </c>
      <c r="BJ52" s="2" t="s">
        <v>602</v>
      </c>
      <c r="BK52" s="2" t="s">
        <v>603</v>
      </c>
      <c r="BR52" s="2" t="str">
        <f>TRIM(_xlfn.CONCAT(BI52," ",BJ52," ",BK52," ",BL52," ",BM52," ",BN52," ",BO52," ",BP52," ",BQ52))</f>
        <v>C.D.E Máster Arganda</v>
      </c>
      <c r="BS52" s="3">
        <v>0.1257175925925926</v>
      </c>
      <c r="BT52" s="3"/>
      <c r="BU52" s="2">
        <v>3</v>
      </c>
    </row>
    <row r="53" spans="1:73" x14ac:dyDescent="0.6">
      <c r="A53" s="2">
        <v>50</v>
      </c>
      <c r="B53" s="2" t="s">
        <v>178</v>
      </c>
      <c r="C53" s="2" t="s">
        <v>179</v>
      </c>
      <c r="D53" s="2" t="s">
        <v>112</v>
      </c>
      <c r="E53" s="2">
        <v>2008</v>
      </c>
      <c r="F53" s="2" t="s">
        <v>62</v>
      </c>
      <c r="G53" s="2" t="s">
        <v>63</v>
      </c>
      <c r="H53" s="2" t="s">
        <v>9</v>
      </c>
      <c r="I53" s="2" t="s">
        <v>27</v>
      </c>
      <c r="J53" s="2" t="s">
        <v>28</v>
      </c>
      <c r="M53" s="2" t="str">
        <f>TRIM(_xlfn.CONCAT(F53," ",G53," ",H53," ",I53," ",J53," ",K53," ",L53))</f>
        <v>Alcarreño de Salvamento y Socorrismo</v>
      </c>
      <c r="N53" s="3">
        <v>0.10777777777777778</v>
      </c>
      <c r="O53" s="3"/>
      <c r="R53" s="2">
        <v>50</v>
      </c>
      <c r="S53" s="2" t="s">
        <v>428</v>
      </c>
      <c r="T53" s="2" t="s">
        <v>429</v>
      </c>
      <c r="U53" s="2" t="s">
        <v>430</v>
      </c>
      <c r="V53" s="2">
        <v>2008</v>
      </c>
      <c r="W53" s="2" t="s">
        <v>2</v>
      </c>
      <c r="X53" s="2" t="s">
        <v>9</v>
      </c>
      <c r="Y53" s="2" t="s">
        <v>27</v>
      </c>
      <c r="Z53" s="2" t="s">
        <v>4</v>
      </c>
      <c r="AA53" s="2" t="s">
        <v>51</v>
      </c>
      <c r="AF53" s="2" t="str">
        <f>TRIM(_xlfn.CONCAT(W53," ",X53," ",Y53," ",Z53," ",AA53," ",AB53," ",AC53," ",AD53," ",AE53))</f>
        <v>Club Salvamento y Natación Silla</v>
      </c>
      <c r="AG53" s="3">
        <v>9.5196759259259259E-2</v>
      </c>
      <c r="AH53" s="3"/>
      <c r="AK53" s="2">
        <v>51</v>
      </c>
      <c r="AL53" s="2" t="s">
        <v>270</v>
      </c>
      <c r="AM53" s="2" t="s">
        <v>640</v>
      </c>
      <c r="AO53" s="2">
        <v>1972</v>
      </c>
      <c r="AP53" s="2" t="s">
        <v>171</v>
      </c>
      <c r="AQ53" s="2" t="s">
        <v>172</v>
      </c>
      <c r="AR53" s="2" t="s">
        <v>9</v>
      </c>
      <c r="AY53" s="2" t="str">
        <f>TRIM(_xlfn.CONCAT(AP53," ",AQ53," ",AR53," ",AS53," ",AT53," ",AU53," ",AV53," ",AW53," ",AX53))</f>
        <v>C.D.E Pacífico Salvamento</v>
      </c>
      <c r="AZ53" s="3">
        <v>0.12880787037037036</v>
      </c>
      <c r="BA53" s="3"/>
      <c r="BB53" s="2">
        <v>13</v>
      </c>
      <c r="BD53" s="2">
        <v>15</v>
      </c>
      <c r="BE53" s="2" t="s">
        <v>776</v>
      </c>
      <c r="BF53" s="2" t="s">
        <v>592</v>
      </c>
      <c r="BG53" s="2" t="s">
        <v>321</v>
      </c>
      <c r="BH53" s="2">
        <v>1976</v>
      </c>
      <c r="BI53" s="2" t="s">
        <v>466</v>
      </c>
      <c r="BJ53" s="2" t="s">
        <v>467</v>
      </c>
      <c r="BK53" s="2" t="s">
        <v>34</v>
      </c>
      <c r="BR53" s="2" t="str">
        <f>TRIM(_xlfn.CONCAT(BI53," ",BJ53," ",BK53," ",BL53," ",BM53," ",BN53," ",BO53," ",BP53," ",BQ53))</f>
        <v>C.D.B. Vallecas S.O.S</v>
      </c>
      <c r="BS53" s="3">
        <v>0.1267824074074074</v>
      </c>
      <c r="BT53" s="3"/>
      <c r="BU53" s="2">
        <v>2</v>
      </c>
    </row>
    <row r="54" spans="1:73" x14ac:dyDescent="0.6">
      <c r="A54" s="2">
        <v>51</v>
      </c>
      <c r="B54" s="2" t="s">
        <v>180</v>
      </c>
      <c r="C54" s="2" t="s">
        <v>181</v>
      </c>
      <c r="D54" s="2" t="s">
        <v>182</v>
      </c>
      <c r="E54" s="2">
        <v>2007</v>
      </c>
      <c r="F54" s="2" t="s">
        <v>2</v>
      </c>
      <c r="G54" s="2" t="s">
        <v>4</v>
      </c>
      <c r="H54" s="2" t="s">
        <v>55</v>
      </c>
      <c r="M54" s="2" t="str">
        <f>TRIM(_xlfn.CONCAT(F54," ",G54," ",H54," ",I54," ",J54," ",K54," ",L54))</f>
        <v>Club Natación Guadalajara</v>
      </c>
      <c r="N54" s="3">
        <v>0.10767361111111111</v>
      </c>
      <c r="O54" s="3"/>
      <c r="R54" s="2">
        <v>51</v>
      </c>
      <c r="S54" s="2" t="s">
        <v>270</v>
      </c>
      <c r="T54" s="2" t="s">
        <v>175</v>
      </c>
      <c r="U54" s="2" t="s">
        <v>436</v>
      </c>
      <c r="V54" s="2">
        <v>2007</v>
      </c>
      <c r="W54" s="2" t="s">
        <v>91</v>
      </c>
      <c r="X54" s="2" t="s">
        <v>92</v>
      </c>
      <c r="Y54" s="2" t="s">
        <v>93</v>
      </c>
      <c r="Z54" s="2" t="s">
        <v>63</v>
      </c>
      <c r="AA54" s="2" t="s">
        <v>94</v>
      </c>
      <c r="AF54" s="2" t="str">
        <f>TRIM(_xlfn.CONCAT(W54," ",X54," ",Y54," ",Z54," ",AA54," ",AB54," ",AC54," ",AD54," ",AE54))</f>
        <v>Sos Pielagos Playas de Cantabria</v>
      </c>
      <c r="AG54" s="3">
        <v>9.5196759259259259E-2</v>
      </c>
      <c r="AH54" s="3"/>
      <c r="AK54" s="2">
        <v>52</v>
      </c>
      <c r="AL54" s="2" t="s">
        <v>437</v>
      </c>
      <c r="AM54" s="2" t="s">
        <v>641</v>
      </c>
      <c r="AN54" s="2" t="s">
        <v>642</v>
      </c>
      <c r="AO54" s="2">
        <v>1974</v>
      </c>
      <c r="AP54" s="2" t="s">
        <v>2</v>
      </c>
      <c r="AQ54" s="2" t="s">
        <v>4</v>
      </c>
      <c r="AR54" s="2" t="s">
        <v>43</v>
      </c>
      <c r="AS54" s="2" t="s">
        <v>153</v>
      </c>
      <c r="AY54" s="2" t="str">
        <f>TRIM(_xlfn.CONCAT(AP54," ",AQ54," ",AR54," ",AS54," ",AT54," ",AU54," ",AV54," ",AW54," ",AX54))</f>
        <v>Club Natación SOS Bétera</v>
      </c>
      <c r="AZ54" s="3">
        <v>0.13547453703703705</v>
      </c>
      <c r="BA54" s="3"/>
      <c r="BB54" s="2">
        <v>12</v>
      </c>
      <c r="BD54" s="2">
        <v>16</v>
      </c>
      <c r="BE54" s="2" t="s">
        <v>777</v>
      </c>
      <c r="BF54" s="2" t="s">
        <v>553</v>
      </c>
      <c r="BG54" s="2" t="s">
        <v>881</v>
      </c>
      <c r="BH54" s="2">
        <v>1978</v>
      </c>
      <c r="BI54" s="2" t="s">
        <v>2</v>
      </c>
      <c r="BJ54" s="2" t="s">
        <v>242</v>
      </c>
      <c r="BK54" s="2" t="s">
        <v>243</v>
      </c>
      <c r="BR54" s="2" t="str">
        <f>TRIM(_xlfn.CONCAT(BI54," ",BJ54," ",BK54," ",BL54," ",BM54," ",BN54," ",BO54," ",BP54," ",BQ54))</f>
        <v>Club Acuático Umia</v>
      </c>
      <c r="BS54" s="3">
        <v>0.12679398148148149</v>
      </c>
      <c r="BT54" s="3"/>
      <c r="BU54" s="2">
        <v>1</v>
      </c>
    </row>
    <row r="55" spans="1:73" x14ac:dyDescent="0.6">
      <c r="A55" s="2">
        <v>52</v>
      </c>
      <c r="B55" s="2" t="s">
        <v>183</v>
      </c>
      <c r="C55" s="2" t="s">
        <v>141</v>
      </c>
      <c r="D55" s="2" t="s">
        <v>184</v>
      </c>
      <c r="E55" s="2">
        <v>2009</v>
      </c>
      <c r="F55" s="2" t="s">
        <v>2</v>
      </c>
      <c r="G55" s="2" t="s">
        <v>3</v>
      </c>
      <c r="H55" s="2" t="s">
        <v>4</v>
      </c>
      <c r="I55" s="2" t="s">
        <v>5</v>
      </c>
      <c r="M55" s="2" t="str">
        <f>TRIM(_xlfn.CONCAT(F55," ",G55," ",H55," ",I55," ",J55," ",K55," ",L55))</f>
        <v>Club Deportivo Natación Aldaia</v>
      </c>
      <c r="N55" s="3">
        <v>0.10769675925925926</v>
      </c>
      <c r="O55" s="3"/>
      <c r="R55" s="2">
        <v>52</v>
      </c>
      <c r="S55" s="2" t="s">
        <v>437</v>
      </c>
      <c r="T55" s="2" t="s">
        <v>438</v>
      </c>
      <c r="U55" s="2" t="s">
        <v>439</v>
      </c>
      <c r="V55" s="2">
        <v>2008</v>
      </c>
      <c r="W55" s="2" t="s">
        <v>91</v>
      </c>
      <c r="X55" s="2" t="s">
        <v>92</v>
      </c>
      <c r="Y55" s="2" t="s">
        <v>93</v>
      </c>
      <c r="Z55" s="2" t="s">
        <v>63</v>
      </c>
      <c r="AA55" s="2" t="s">
        <v>94</v>
      </c>
      <c r="AF55" s="2" t="str">
        <f>TRIM(_xlfn.CONCAT(W55," ",X55," ",Y55," ",Z55," ",AA55," ",AB55," ",AC55," ",AD55," ",AE55))</f>
        <v>Sos Pielagos Playas de Cantabria</v>
      </c>
      <c r="AG55" s="3">
        <v>9.5613425925925921E-2</v>
      </c>
      <c r="AH55" s="3"/>
      <c r="AK55" s="2">
        <v>53</v>
      </c>
      <c r="AL55" s="2" t="s">
        <v>52</v>
      </c>
      <c r="AM55" s="2" t="s">
        <v>643</v>
      </c>
      <c r="AN55" s="2" t="s">
        <v>703</v>
      </c>
      <c r="AO55" s="2">
        <v>1973</v>
      </c>
      <c r="AP55" s="2" t="s">
        <v>2</v>
      </c>
      <c r="AQ55" s="2" t="s">
        <v>3</v>
      </c>
      <c r="AR55" s="2" t="s">
        <v>33</v>
      </c>
      <c r="AS55" s="2" t="s">
        <v>34</v>
      </c>
      <c r="AY55" s="2" t="str">
        <f>TRIM(_xlfn.CONCAT(AP55," ",AQ55," ",AR55," ",AS55," ",AT55," ",AU55," ",AV55," ",AW55," ",AX55))</f>
        <v>Club Deportivo Oca S.O.S</v>
      </c>
      <c r="AZ55" s="3">
        <v>0.13953703703703704</v>
      </c>
      <c r="BA55" s="3"/>
      <c r="BB55" s="2">
        <v>11</v>
      </c>
      <c r="BD55" s="2">
        <v>17</v>
      </c>
      <c r="BE55" s="2" t="s">
        <v>59</v>
      </c>
      <c r="BF55" s="2" t="s">
        <v>778</v>
      </c>
      <c r="BG55" s="2" t="s">
        <v>747</v>
      </c>
      <c r="BH55" s="2">
        <v>1979</v>
      </c>
      <c r="BI55" s="2" t="s">
        <v>466</v>
      </c>
      <c r="BJ55" s="2" t="s">
        <v>467</v>
      </c>
      <c r="BK55" s="2" t="s">
        <v>34</v>
      </c>
      <c r="BR55" s="2" t="str">
        <f>TRIM(_xlfn.CONCAT(BI55," ",BJ55," ",BK55," ",BL55," ",BM55," ",BN55," ",BO55," ",BP55," ",BQ55))</f>
        <v>C.D.B. Vallecas S.O.S</v>
      </c>
      <c r="BS55" s="3">
        <v>0.12815972222222222</v>
      </c>
      <c r="BT55" s="3"/>
    </row>
    <row r="56" spans="1:73" x14ac:dyDescent="0.6">
      <c r="A56" s="2">
        <v>53</v>
      </c>
      <c r="B56" s="2" t="s">
        <v>158</v>
      </c>
      <c r="C56" s="2" t="s">
        <v>292</v>
      </c>
      <c r="D56" s="2" t="s">
        <v>21</v>
      </c>
      <c r="E56" s="2">
        <v>2010</v>
      </c>
      <c r="F56" s="2" t="s">
        <v>62</v>
      </c>
      <c r="G56" s="2" t="s">
        <v>63</v>
      </c>
      <c r="H56" s="2" t="s">
        <v>9</v>
      </c>
      <c r="I56" s="2" t="s">
        <v>27</v>
      </c>
      <c r="J56" s="2" t="s">
        <v>28</v>
      </c>
      <c r="M56" s="2" t="str">
        <f>TRIM(_xlfn.CONCAT(F56," ",G56," ",H56," ",I56," ",J56," ",K56," ",L56))</f>
        <v>Alcarreño de Salvamento y Socorrismo</v>
      </c>
      <c r="N56" s="3">
        <v>0.10781250000000001</v>
      </c>
      <c r="O56" s="3"/>
      <c r="R56" s="2">
        <v>53</v>
      </c>
      <c r="S56" s="2" t="s">
        <v>52</v>
      </c>
      <c r="T56" s="2" t="s">
        <v>557</v>
      </c>
      <c r="U56" s="2" t="s">
        <v>440</v>
      </c>
      <c r="V56" s="2">
        <v>2008</v>
      </c>
      <c r="W56" s="2" t="s">
        <v>2</v>
      </c>
      <c r="X56" s="2" t="s">
        <v>4</v>
      </c>
      <c r="Y56" s="2" t="s">
        <v>27</v>
      </c>
      <c r="Z56" s="2" t="s">
        <v>9</v>
      </c>
      <c r="AA56" s="2" t="s">
        <v>98</v>
      </c>
      <c r="AB56" s="2" t="s">
        <v>99</v>
      </c>
      <c r="AF56" s="2" t="str">
        <f>TRIM(_xlfn.CONCAT(W56," ",X56," ",Y56," ",Z56," ",AA56," ",AB56," ",AC56," ",AD56," ",AE56))</f>
        <v>Club Natación y Salvamento Oriol Imperial</v>
      </c>
      <c r="AG56" s="3">
        <v>9.5694444444444443E-2</v>
      </c>
      <c r="AH56" s="3"/>
      <c r="AK56" s="2">
        <v>54</v>
      </c>
      <c r="AL56" s="2" t="s">
        <v>441</v>
      </c>
      <c r="AM56" s="2" t="s">
        <v>142</v>
      </c>
      <c r="AN56" s="2" t="s">
        <v>704</v>
      </c>
      <c r="AO56" s="2">
        <v>1972</v>
      </c>
      <c r="AP56" s="2" t="s">
        <v>2</v>
      </c>
      <c r="AQ56" s="2" t="s">
        <v>210</v>
      </c>
      <c r="AY56" s="2" t="str">
        <f>TRIM(_xlfn.CONCAT(AP56," ",AQ56," ",AR56," ",AS56," ",AT56," ",AU56," ",AV56," ",AW56," ",AX56))</f>
        <v>Club Leucante</v>
      </c>
      <c r="AZ56" s="3">
        <v>0.14078703703703704</v>
      </c>
      <c r="BA56" s="3"/>
      <c r="BB56" s="2">
        <v>10</v>
      </c>
      <c r="BD56" s="2">
        <v>18</v>
      </c>
      <c r="BE56" s="2" t="s">
        <v>118</v>
      </c>
      <c r="BF56" s="2" t="s">
        <v>350</v>
      </c>
      <c r="BG56" s="2" t="s">
        <v>354</v>
      </c>
      <c r="BH56" s="2">
        <v>1977</v>
      </c>
      <c r="BI56" s="2" t="s">
        <v>171</v>
      </c>
      <c r="BJ56" s="2" t="s">
        <v>172</v>
      </c>
      <c r="BK56" s="2" t="s">
        <v>9</v>
      </c>
      <c r="BR56" s="2" t="str">
        <f>TRIM(_xlfn.CONCAT(BI56," ",BJ56," ",BK56," ",BL56," ",BM56," ",BN56," ",BO56," ",BP56," ",BQ56))</f>
        <v>C.D.E Pacífico Salvamento</v>
      </c>
      <c r="BS56" s="3">
        <v>0.13071759259259258</v>
      </c>
      <c r="BT56" s="3"/>
    </row>
    <row r="57" spans="1:73" x14ac:dyDescent="0.6">
      <c r="A57" s="2">
        <v>54</v>
      </c>
      <c r="B57" s="2" t="s">
        <v>185</v>
      </c>
      <c r="C57" s="2" t="s">
        <v>186</v>
      </c>
      <c r="D57" s="2" t="s">
        <v>187</v>
      </c>
      <c r="E57" s="2">
        <v>2010</v>
      </c>
      <c r="F57" s="2" t="s">
        <v>2</v>
      </c>
      <c r="G57" s="2" t="s">
        <v>22</v>
      </c>
      <c r="H57" s="2" t="s">
        <v>188</v>
      </c>
      <c r="M57" s="2" t="str">
        <f>TRIM(_xlfn.CONCAT(F57," ",G57," ",H57," ",I57," ",J57," ",K57," ",L57))</f>
        <v>Club Natació Salou</v>
      </c>
      <c r="N57" s="3">
        <v>0.10790509259259259</v>
      </c>
      <c r="O57" s="3"/>
      <c r="R57" s="2">
        <v>54</v>
      </c>
      <c r="S57" s="2" t="s">
        <v>441</v>
      </c>
      <c r="T57" s="2" t="s">
        <v>257</v>
      </c>
      <c r="U57" s="2" t="s">
        <v>279</v>
      </c>
      <c r="V57" s="2">
        <v>2008</v>
      </c>
      <c r="W57" s="2" t="s">
        <v>41</v>
      </c>
      <c r="X57" s="2" t="s">
        <v>42</v>
      </c>
      <c r="Y57" s="2" t="s">
        <v>43</v>
      </c>
      <c r="Z57" s="2" t="s">
        <v>44</v>
      </c>
      <c r="AA57" s="2" t="s">
        <v>45</v>
      </c>
      <c r="AF57" s="2" t="str">
        <f>TRIM(_xlfn.CONCAT(W57," ",X57," ",Y57," ",Z57," ",AA57," ",AB57," ",AC57," ",AD57," ",AE57))</f>
        <v>C. D. SOS La Bañeza</v>
      </c>
      <c r="AG57" s="3">
        <v>9.571759259259259E-2</v>
      </c>
      <c r="AH57" s="3"/>
      <c r="AK57" s="2">
        <v>55</v>
      </c>
      <c r="AL57" s="2" t="s">
        <v>199</v>
      </c>
      <c r="AM57" s="2" t="s">
        <v>30</v>
      </c>
      <c r="AN57" s="2" t="s">
        <v>705</v>
      </c>
      <c r="AO57" s="2">
        <v>1972</v>
      </c>
      <c r="AP57" s="2" t="s">
        <v>4</v>
      </c>
      <c r="AQ57" s="2" t="s">
        <v>635</v>
      </c>
      <c r="AY57" s="2" t="str">
        <f>TRIM(_xlfn.CONCAT(AP57," ",AQ57," ",AR57," ",AS57," ",AT57," ",AU57," ",AV57," ",AW57," ",AX57))</f>
        <v>Natación RACE</v>
      </c>
      <c r="AZ57" s="3">
        <v>0.14143518518518519</v>
      </c>
      <c r="BA57" s="3"/>
      <c r="BB57" s="2">
        <v>8</v>
      </c>
      <c r="BD57" s="2">
        <v>19</v>
      </c>
      <c r="BE57" s="2" t="s">
        <v>193</v>
      </c>
      <c r="BF57" s="2" t="s">
        <v>777</v>
      </c>
      <c r="BG57" s="2" t="s">
        <v>770</v>
      </c>
      <c r="BH57" s="2">
        <v>1979</v>
      </c>
      <c r="BI57" s="2" t="s">
        <v>572</v>
      </c>
      <c r="BJ57" s="2" t="s">
        <v>573</v>
      </c>
      <c r="BK57" s="2" t="s">
        <v>574</v>
      </c>
      <c r="BL57" s="2" t="s">
        <v>575</v>
      </c>
      <c r="BR57" s="2" t="str">
        <f>TRIM(_xlfn.CONCAT(BI57," ",BJ57," ",BK57," ",BL57," ",BM57," ",BN57," ",BO57," ",BP57," ",BQ57))</f>
        <v>Loredo Surf Life Saving</v>
      </c>
      <c r="BS57" s="3">
        <v>0.13157407407407407</v>
      </c>
      <c r="BT57" s="3"/>
    </row>
    <row r="58" spans="1:73" x14ac:dyDescent="0.6">
      <c r="A58" s="2">
        <v>55</v>
      </c>
      <c r="B58" s="2" t="s">
        <v>189</v>
      </c>
      <c r="C58" s="2" t="s">
        <v>190</v>
      </c>
      <c r="D58" s="2" t="s">
        <v>191</v>
      </c>
      <c r="E58" s="2">
        <v>2009</v>
      </c>
      <c r="F58" s="2" t="s">
        <v>62</v>
      </c>
      <c r="G58" s="2" t="s">
        <v>63</v>
      </c>
      <c r="H58" s="2" t="s">
        <v>9</v>
      </c>
      <c r="I58" s="2" t="s">
        <v>27</v>
      </c>
      <c r="J58" s="2" t="s">
        <v>28</v>
      </c>
      <c r="M58" s="2" t="str">
        <f>TRIM(_xlfn.CONCAT(F58," ",G58," ",H58," ",I58," ",J58," ",K58," ",L58))</f>
        <v>Alcarreño de Salvamento y Socorrismo</v>
      </c>
      <c r="N58" s="3">
        <v>0.10813657407407408</v>
      </c>
      <c r="O58" s="3"/>
      <c r="R58" s="2">
        <v>55</v>
      </c>
      <c r="S58" s="2" t="s">
        <v>199</v>
      </c>
      <c r="T58" s="2" t="s">
        <v>6</v>
      </c>
      <c r="U58" s="2" t="s">
        <v>442</v>
      </c>
      <c r="V58" s="2">
        <v>2005</v>
      </c>
      <c r="W58" s="2" t="s">
        <v>2</v>
      </c>
      <c r="X58" s="2" t="s">
        <v>4</v>
      </c>
      <c r="Y58" s="2" t="s">
        <v>55</v>
      </c>
      <c r="AF58" s="2" t="str">
        <f>TRIM(_xlfn.CONCAT(W58," ",X58," ",Y58," ",Z58," ",AA58," ",AB58," ",AC58," ",AD58," ",AE58))</f>
        <v>Club Natación Guadalajara</v>
      </c>
      <c r="AG58" s="3">
        <v>9.600694444444445E-2</v>
      </c>
      <c r="AH58" s="3"/>
      <c r="AK58" s="2">
        <v>56</v>
      </c>
      <c r="AL58" s="2" t="s">
        <v>443</v>
      </c>
      <c r="AM58" s="2" t="s">
        <v>646</v>
      </c>
      <c r="AN58" s="2" t="s">
        <v>647</v>
      </c>
      <c r="AO58" s="2">
        <v>1972</v>
      </c>
      <c r="AP58" s="2" t="s">
        <v>171</v>
      </c>
      <c r="AQ58" s="2" t="s">
        <v>602</v>
      </c>
      <c r="AR58" s="2" t="s">
        <v>603</v>
      </c>
      <c r="AY58" s="2" t="str">
        <f>TRIM(_xlfn.CONCAT(AP58," ",AQ58," ",AR58," ",AS58," ",AT58," ",AU58," ",AV58," ",AW58," ",AX58))</f>
        <v>C.D.E Máster Arganda</v>
      </c>
      <c r="AZ58" s="3">
        <v>0.14384259259259261</v>
      </c>
      <c r="BA58" s="3"/>
      <c r="BB58" s="2">
        <v>7</v>
      </c>
      <c r="BD58" s="2">
        <v>20</v>
      </c>
      <c r="BE58" s="2" t="s">
        <v>183</v>
      </c>
      <c r="BF58" s="2" t="s">
        <v>265</v>
      </c>
      <c r="BG58" s="2" t="s">
        <v>719</v>
      </c>
      <c r="BH58" s="2">
        <v>1980</v>
      </c>
      <c r="BI58" s="2" t="s">
        <v>2</v>
      </c>
      <c r="BJ58" s="2" t="s">
        <v>210</v>
      </c>
      <c r="BR58" s="2" t="str">
        <f>TRIM(_xlfn.CONCAT(BI58," ",BJ58," ",BK58," ",BL58," ",BM58," ",BN58," ",BO58," ",BP58," ",BQ58))</f>
        <v>Club Leucante</v>
      </c>
      <c r="BS58" s="3">
        <v>0.13300925925925927</v>
      </c>
      <c r="BT58" s="3"/>
    </row>
    <row r="59" spans="1:73" x14ac:dyDescent="0.6">
      <c r="A59" s="2">
        <v>56</v>
      </c>
      <c r="B59" s="2" t="s">
        <v>192</v>
      </c>
      <c r="C59" s="2" t="s">
        <v>193</v>
      </c>
      <c r="D59" s="2" t="s">
        <v>194</v>
      </c>
      <c r="E59" s="2">
        <v>2010</v>
      </c>
      <c r="F59" s="2" t="s">
        <v>2</v>
      </c>
      <c r="G59" s="2" t="s">
        <v>9</v>
      </c>
      <c r="H59" s="2" t="s">
        <v>116</v>
      </c>
      <c r="M59" s="2" t="str">
        <f>TRIM(_xlfn.CONCAT(F59," ",G59," ",H59," ",I59," ",J59," ",K59," ",L59))</f>
        <v>Club Salvamento Vilagarcía</v>
      </c>
      <c r="N59" s="3">
        <v>0.10856481481481481</v>
      </c>
      <c r="O59" s="3"/>
      <c r="R59" s="2">
        <v>56</v>
      </c>
      <c r="S59" s="2" t="s">
        <v>443</v>
      </c>
      <c r="T59" s="2" t="s">
        <v>444</v>
      </c>
      <c r="U59" s="2" t="s">
        <v>369</v>
      </c>
      <c r="V59" s="2">
        <v>2011</v>
      </c>
      <c r="W59" s="2" t="s">
        <v>62</v>
      </c>
      <c r="X59" s="2" t="s">
        <v>63</v>
      </c>
      <c r="Y59" s="2" t="s">
        <v>9</v>
      </c>
      <c r="Z59" s="2" t="s">
        <v>27</v>
      </c>
      <c r="AA59" s="2" t="s">
        <v>28</v>
      </c>
      <c r="AF59" s="2" t="str">
        <f>TRIM(_xlfn.CONCAT(W59," ",X59," ",Y59," ",Z59," ",AA59," ",AB59," ",AC59," ",AD59," ",AE59))</f>
        <v>Alcarreño de Salvamento y Socorrismo</v>
      </c>
      <c r="AG59" s="3">
        <v>9.5914351851851848E-2</v>
      </c>
      <c r="AH59" s="3"/>
      <c r="AK59" s="2">
        <v>57</v>
      </c>
      <c r="AL59" s="2" t="s">
        <v>445</v>
      </c>
      <c r="AM59" s="2" t="s">
        <v>14</v>
      </c>
      <c r="AN59" s="2" t="s">
        <v>648</v>
      </c>
      <c r="AO59" s="2">
        <v>1974</v>
      </c>
      <c r="AP59" s="2" t="s">
        <v>2</v>
      </c>
      <c r="AQ59" s="2" t="s">
        <v>9</v>
      </c>
      <c r="AR59" s="2" t="s">
        <v>649</v>
      </c>
      <c r="AS59" s="2" t="s">
        <v>650</v>
      </c>
      <c r="AY59" s="2" t="str">
        <f>TRIM(_xlfn.CONCAT(AP59," ",AQ59," ",AR59," ",AS59," ",AT59," ",AU59," ",AV59," ",AW59," ",AX59))</f>
        <v>Club Salvamento Los Locos</v>
      </c>
      <c r="AZ59" s="3">
        <v>0.14387731481481481</v>
      </c>
      <c r="BA59" s="3"/>
      <c r="BB59" s="2">
        <v>6</v>
      </c>
      <c r="BD59" s="2">
        <v>21</v>
      </c>
      <c r="BE59" s="2" t="s">
        <v>394</v>
      </c>
      <c r="BF59" s="2" t="s">
        <v>779</v>
      </c>
      <c r="BG59" s="2" t="s">
        <v>505</v>
      </c>
      <c r="BH59" s="2">
        <v>1980</v>
      </c>
      <c r="BI59" s="2" t="s">
        <v>567</v>
      </c>
      <c r="BJ59" s="2" t="s">
        <v>9</v>
      </c>
      <c r="BK59" s="2" t="s">
        <v>568</v>
      </c>
      <c r="BR59" s="2" t="str">
        <f>TRIM(_xlfn.CONCAT(BI59," ",BJ59," ",BK59," ",BL59," ",BM59," ",BN59," ",BO59," ",BP59," ",BQ59))</f>
        <v>Escuela Salvamento Almendralejo</v>
      </c>
      <c r="BS59" s="3">
        <v>0.1350462962962963</v>
      </c>
      <c r="BT59" s="3"/>
    </row>
    <row r="60" spans="1:73" x14ac:dyDescent="0.6">
      <c r="A60" s="2">
        <v>57</v>
      </c>
      <c r="B60" s="2" t="s">
        <v>195</v>
      </c>
      <c r="C60" s="2" t="s">
        <v>195</v>
      </c>
      <c r="D60" s="2" t="s">
        <v>196</v>
      </c>
      <c r="E60" s="2">
        <v>2009</v>
      </c>
      <c r="F60" s="2" t="s">
        <v>2</v>
      </c>
      <c r="G60" s="2" t="s">
        <v>3</v>
      </c>
      <c r="H60" s="2" t="s">
        <v>197</v>
      </c>
      <c r="I60" s="2" t="s">
        <v>198</v>
      </c>
      <c r="M60" s="2" t="str">
        <f>TRIM(_xlfn.CONCAT(F60," ",G60," ",H60," ",I60," ",J60," ",K60," ",L60))</f>
        <v>Club Deportivo Talasa Torremolinos</v>
      </c>
      <c r="N60" s="3">
        <v>0.10870370370370371</v>
      </c>
      <c r="O60" s="3"/>
      <c r="R60" s="2">
        <v>57</v>
      </c>
      <c r="S60" s="2" t="s">
        <v>445</v>
      </c>
      <c r="T60" s="2" t="s">
        <v>446</v>
      </c>
      <c r="U60" s="2" t="s">
        <v>398</v>
      </c>
      <c r="V60" s="2">
        <v>2006</v>
      </c>
      <c r="W60" s="2" t="s">
        <v>62</v>
      </c>
      <c r="X60" s="2" t="s">
        <v>63</v>
      </c>
      <c r="Y60" s="2" t="s">
        <v>9</v>
      </c>
      <c r="Z60" s="2" t="s">
        <v>27</v>
      </c>
      <c r="AA60" s="2" t="s">
        <v>28</v>
      </c>
      <c r="AF60" s="2" t="str">
        <f>TRIM(_xlfn.CONCAT(W60," ",X60," ",Y60," ",Z60," ",AA60," ",AB60," ",AC60," ",AD60," ",AE60))</f>
        <v>Alcarreño de Salvamento y Socorrismo</v>
      </c>
      <c r="AG60" s="3">
        <v>9.6469907407407407E-2</v>
      </c>
      <c r="AH60" s="3"/>
      <c r="AK60" s="2">
        <v>58</v>
      </c>
      <c r="AL60" s="2" t="s">
        <v>447</v>
      </c>
      <c r="AM60" s="2" t="s">
        <v>186</v>
      </c>
      <c r="AN60" s="2" t="s">
        <v>693</v>
      </c>
      <c r="AO60" s="2">
        <v>1972</v>
      </c>
      <c r="AP60" s="2" t="s">
        <v>4</v>
      </c>
      <c r="AQ60" s="2" t="s">
        <v>635</v>
      </c>
      <c r="AY60" s="2" t="str">
        <f>TRIM(_xlfn.CONCAT(AP60," ",AQ60," ",AR60," ",AS60," ",AT60," ",AU60," ",AV60," ",AW60," ",AX60))</f>
        <v>Natación RACE</v>
      </c>
      <c r="AZ60" s="3">
        <v>0.15078703703703702</v>
      </c>
      <c r="BA60" s="3"/>
      <c r="BB60" s="2">
        <v>5</v>
      </c>
      <c r="BD60" s="2">
        <v>22</v>
      </c>
      <c r="BE60" s="2" t="s">
        <v>71</v>
      </c>
      <c r="BF60" s="2" t="s">
        <v>780</v>
      </c>
      <c r="BG60" s="2" t="s">
        <v>499</v>
      </c>
      <c r="BH60" s="2">
        <v>1976</v>
      </c>
      <c r="BI60" s="2" t="s">
        <v>2</v>
      </c>
      <c r="BJ60" s="2" t="s">
        <v>3</v>
      </c>
      <c r="BK60" s="2" t="s">
        <v>33</v>
      </c>
      <c r="BL60" s="2" t="s">
        <v>34</v>
      </c>
      <c r="BR60" s="2" t="str">
        <f>TRIM(_xlfn.CONCAT(BI60," ",BJ60," ",BK60," ",BL60," ",BM60," ",BN60," ",BO60," ",BP60," ",BQ60))</f>
        <v>Club Deportivo Oca S.O.S</v>
      </c>
      <c r="BS60" s="3">
        <v>0.13891203703703703</v>
      </c>
      <c r="BT60" s="3"/>
    </row>
    <row r="61" spans="1:73" x14ac:dyDescent="0.6">
      <c r="A61" s="2">
        <v>58</v>
      </c>
      <c r="B61" s="2" t="s">
        <v>199</v>
      </c>
      <c r="C61" s="2" t="s">
        <v>6</v>
      </c>
      <c r="D61" s="2" t="s">
        <v>200</v>
      </c>
      <c r="E61" s="2">
        <v>2009</v>
      </c>
      <c r="F61" s="2" t="s">
        <v>2</v>
      </c>
      <c r="G61" s="2" t="s">
        <v>4</v>
      </c>
      <c r="H61" s="2" t="s">
        <v>55</v>
      </c>
      <c r="M61" s="2" t="str">
        <f>TRIM(_xlfn.CONCAT(F61," ",G61," ",H61," ",I61," ",J61," ",K61," ",L61))</f>
        <v>Club Natación Guadalajara</v>
      </c>
      <c r="N61" s="3">
        <v>0.10942129629629629</v>
      </c>
      <c r="O61" s="3"/>
      <c r="R61" s="2">
        <v>58</v>
      </c>
      <c r="S61" s="2" t="s">
        <v>447</v>
      </c>
      <c r="T61" s="2" t="s">
        <v>351</v>
      </c>
      <c r="U61" s="2" t="s">
        <v>321</v>
      </c>
      <c r="V61" s="2">
        <v>2004</v>
      </c>
      <c r="W61" s="2" t="s">
        <v>2</v>
      </c>
      <c r="X61" s="2" t="s">
        <v>3</v>
      </c>
      <c r="Y61" s="2" t="s">
        <v>197</v>
      </c>
      <c r="Z61" s="2" t="s">
        <v>198</v>
      </c>
      <c r="AF61" s="2" t="str">
        <f>TRIM(_xlfn.CONCAT(W61," ",X61," ",Y61," ",Z61," ",AA61," ",AB61," ",AC61," ",AD61," ",AE61))</f>
        <v>Club Deportivo Talasa Torremolinos</v>
      </c>
      <c r="AG61" s="3">
        <v>9.6597222222222223E-2</v>
      </c>
      <c r="AH61" s="3"/>
      <c r="AK61" s="2">
        <v>59</v>
      </c>
      <c r="AL61" s="2" t="s">
        <v>448</v>
      </c>
      <c r="AM61" s="2" t="s">
        <v>651</v>
      </c>
      <c r="AN61" s="2" t="s">
        <v>184</v>
      </c>
      <c r="AO61" s="2">
        <v>1975</v>
      </c>
      <c r="AP61" s="2" t="s">
        <v>4</v>
      </c>
      <c r="AQ61" s="2" t="s">
        <v>635</v>
      </c>
      <c r="AY61" s="2" t="str">
        <f>TRIM(_xlfn.CONCAT(AP61," ",AQ61," ",AR61," ",AS61," ",AT61," ",AU61," ",AV61," ",AW61," ",AX61))</f>
        <v>Natación RACE</v>
      </c>
      <c r="AZ61" s="3">
        <v>0.15217592592592594</v>
      </c>
      <c r="BA61" s="3"/>
      <c r="BD61" s="2">
        <v>23</v>
      </c>
      <c r="BE61" s="2" t="s">
        <v>781</v>
      </c>
      <c r="BF61" s="2" t="s">
        <v>220</v>
      </c>
      <c r="BG61" s="2" t="s">
        <v>542</v>
      </c>
      <c r="BH61" s="2">
        <v>1980</v>
      </c>
      <c r="BI61" s="2" t="s">
        <v>171</v>
      </c>
      <c r="BJ61" s="2" t="s">
        <v>172</v>
      </c>
      <c r="BK61" s="2" t="s">
        <v>9</v>
      </c>
      <c r="BR61" s="2" t="str">
        <f>TRIM(_xlfn.CONCAT(BI61," ",BJ61," ",BK61," ",BL61," ",BM61," ",BN61," ",BO61," ",BP61," ",BQ61))</f>
        <v>C.D.E Pacífico Salvamento</v>
      </c>
      <c r="BS61" s="3">
        <v>0.14018518518518519</v>
      </c>
      <c r="BT61" s="3"/>
    </row>
    <row r="62" spans="1:73" x14ac:dyDescent="0.6">
      <c r="A62" s="2">
        <v>58</v>
      </c>
      <c r="B62" s="2" t="s">
        <v>201</v>
      </c>
      <c r="C62" s="2" t="s">
        <v>293</v>
      </c>
      <c r="D62" s="2" t="s">
        <v>84</v>
      </c>
      <c r="E62" s="2">
        <v>2010</v>
      </c>
      <c r="F62" s="2" t="s">
        <v>2</v>
      </c>
      <c r="G62" s="2" t="s">
        <v>4</v>
      </c>
      <c r="H62" s="2" t="s">
        <v>55</v>
      </c>
      <c r="M62" s="2" t="str">
        <f>TRIM(_xlfn.CONCAT(F62," ",G62," ",H62," ",I62," ",J62," ",K62," ",L62))</f>
        <v>Club Natación Guadalajara</v>
      </c>
      <c r="N62" s="3">
        <v>0.10975694444444445</v>
      </c>
      <c r="O62" s="3"/>
      <c r="R62" s="2">
        <v>59</v>
      </c>
      <c r="S62" s="2" t="s">
        <v>448</v>
      </c>
      <c r="T62" s="2" t="s">
        <v>149</v>
      </c>
      <c r="U62" s="2" t="s">
        <v>449</v>
      </c>
      <c r="V62" s="2">
        <v>2006</v>
      </c>
      <c r="W62" s="2" t="s">
        <v>62</v>
      </c>
      <c r="X62" s="2" t="s">
        <v>63</v>
      </c>
      <c r="Y62" s="2" t="s">
        <v>9</v>
      </c>
      <c r="Z62" s="2" t="s">
        <v>27</v>
      </c>
      <c r="AA62" s="2" t="s">
        <v>28</v>
      </c>
      <c r="AF62" s="2" t="str">
        <f>TRIM(_xlfn.CONCAT(W62," ",X62," ",Y62," ",Z62," ",AA62," ",AB62," ",AC62," ",AD62," ",AE62))</f>
        <v>Alcarreño de Salvamento y Socorrismo</v>
      </c>
      <c r="AG62" s="3">
        <v>9.6655092592592598E-2</v>
      </c>
      <c r="AH62" s="3"/>
      <c r="AK62" s="2">
        <v>60</v>
      </c>
      <c r="AL62" s="2" t="s">
        <v>450</v>
      </c>
      <c r="AM62" s="2" t="s">
        <v>652</v>
      </c>
      <c r="AN62" s="2" t="s">
        <v>578</v>
      </c>
      <c r="AO62" s="2">
        <v>1974</v>
      </c>
      <c r="AP62" s="2" t="s">
        <v>2</v>
      </c>
      <c r="AQ62" s="2" t="s">
        <v>108</v>
      </c>
      <c r="AR62" s="2" t="s">
        <v>109</v>
      </c>
      <c r="AY62" s="2" t="str">
        <f>TRIM(_xlfn.CONCAT(AP62," ",AQ62," ",AR62," ",AS62," ",AT62," ",AU62," ",AV62," ",AW62," ",AX62))</f>
        <v>Club A.C.N. Marisma</v>
      </c>
      <c r="AZ62" s="3">
        <v>0.15277777777777779</v>
      </c>
      <c r="BA62" s="3"/>
      <c r="BB62" s="2">
        <v>3</v>
      </c>
      <c r="BD62" s="2">
        <v>24</v>
      </c>
      <c r="BE62" s="2" t="s">
        <v>782</v>
      </c>
      <c r="BF62" s="2" t="s">
        <v>645</v>
      </c>
      <c r="BG62" s="2" t="s">
        <v>363</v>
      </c>
      <c r="BH62" s="2">
        <v>1976</v>
      </c>
      <c r="BI62" s="2" t="s">
        <v>4</v>
      </c>
      <c r="BJ62" s="2" t="s">
        <v>635</v>
      </c>
      <c r="BR62" s="2" t="str">
        <f>TRIM(_xlfn.CONCAT(BI62," ",BJ62," ",BK62," ",BL62," ",BM62," ",BN62," ",BO62," ",BP62," ",BQ62))</f>
        <v>Natación RACE</v>
      </c>
      <c r="BS62" s="3">
        <v>0.14280092592592591</v>
      </c>
      <c r="BT62" s="3"/>
    </row>
    <row r="63" spans="1:73" x14ac:dyDescent="0.6">
      <c r="A63" s="2">
        <v>59</v>
      </c>
      <c r="B63" s="2" t="s">
        <v>73</v>
      </c>
      <c r="C63" s="2" t="s">
        <v>141</v>
      </c>
      <c r="D63" s="2" t="s">
        <v>203</v>
      </c>
      <c r="E63" s="2">
        <v>2009</v>
      </c>
      <c r="F63" s="2" t="s">
        <v>2</v>
      </c>
      <c r="G63" s="2" t="s">
        <v>4</v>
      </c>
      <c r="H63" s="2" t="s">
        <v>27</v>
      </c>
      <c r="I63" s="2" t="s">
        <v>9</v>
      </c>
      <c r="J63" s="2" t="s">
        <v>98</v>
      </c>
      <c r="K63" s="2" t="s">
        <v>99</v>
      </c>
      <c r="M63" s="2" t="str">
        <f>TRIM(_xlfn.CONCAT(F63," ",G63," ",H63," ",I63," ",J63," ",K63," ",L63))</f>
        <v>Club Natación y Salvamento Oriol Imperial</v>
      </c>
      <c r="N63" s="3">
        <v>0.11006944444444444</v>
      </c>
      <c r="O63" s="3"/>
      <c r="R63" s="2">
        <v>60</v>
      </c>
      <c r="S63" s="2" t="s">
        <v>450</v>
      </c>
      <c r="T63" s="2" t="s">
        <v>451</v>
      </c>
      <c r="U63" s="2" t="s">
        <v>452</v>
      </c>
      <c r="V63" s="2">
        <v>2005</v>
      </c>
      <c r="W63" s="2" t="s">
        <v>2</v>
      </c>
      <c r="X63" s="2" t="s">
        <v>210</v>
      </c>
      <c r="AF63" s="2" t="str">
        <f>TRIM(_xlfn.CONCAT(W63," ",X63," ",Y63," ",Z63," ",AA63," ",AB63," ",AC63," ",AD63," ",AE63))</f>
        <v>Club Leucante</v>
      </c>
      <c r="AG63" s="3">
        <v>9.7280092592592599E-2</v>
      </c>
      <c r="AH63" s="3"/>
      <c r="AK63" s="2">
        <v>61</v>
      </c>
      <c r="AL63" s="2" t="s">
        <v>453</v>
      </c>
      <c r="AM63" s="2" t="s">
        <v>653</v>
      </c>
      <c r="AN63" s="2" t="s">
        <v>699</v>
      </c>
      <c r="AO63" s="2">
        <v>1971</v>
      </c>
      <c r="AP63" s="2" t="s">
        <v>2</v>
      </c>
      <c r="AQ63" s="2" t="s">
        <v>4</v>
      </c>
      <c r="AR63" s="2" t="s">
        <v>27</v>
      </c>
      <c r="AS63" s="2" t="s">
        <v>9</v>
      </c>
      <c r="AT63" s="2" t="s">
        <v>75</v>
      </c>
      <c r="AY63" s="2" t="str">
        <f>TRIM(_xlfn.CONCAT(AP63," ",AQ63," ",AR63," ",AS63," ",AT63," ",AU63," ",AV63," ",AW63," ",AX63))</f>
        <v>Club Natación y Salvamento Albasit</v>
      </c>
      <c r="AZ63" s="3">
        <v>0.15324074074074073</v>
      </c>
      <c r="BA63" s="3"/>
      <c r="BB63" s="2">
        <v>2</v>
      </c>
      <c r="BD63" s="2">
        <v>25</v>
      </c>
      <c r="BE63" s="2" t="s">
        <v>31</v>
      </c>
      <c r="BF63" s="2" t="s">
        <v>52</v>
      </c>
      <c r="BG63" s="2" t="s">
        <v>783</v>
      </c>
      <c r="BH63" s="2">
        <v>1977</v>
      </c>
      <c r="BI63" s="2" t="s">
        <v>2</v>
      </c>
      <c r="BJ63" s="2" t="s">
        <v>3</v>
      </c>
      <c r="BK63" s="2" t="s">
        <v>33</v>
      </c>
      <c r="BL63" s="2" t="s">
        <v>34</v>
      </c>
      <c r="BR63" s="2" t="str">
        <f>TRIM(_xlfn.CONCAT(BI63," ",BJ63," ",BK63," ",BL63," ",BM63," ",BN63," ",BO63," ",BP63," ",BQ63))</f>
        <v>Club Deportivo Oca S.O.S</v>
      </c>
      <c r="BS63" s="3">
        <v>0.14613425925925927</v>
      </c>
      <c r="BT63" s="3"/>
    </row>
    <row r="64" spans="1:73" x14ac:dyDescent="0.6">
      <c r="A64" s="2">
        <v>60</v>
      </c>
      <c r="B64" s="2" t="s">
        <v>30</v>
      </c>
      <c r="C64" s="2" t="s">
        <v>31</v>
      </c>
      <c r="D64" s="2" t="s">
        <v>204</v>
      </c>
      <c r="E64" s="2">
        <v>2006</v>
      </c>
      <c r="F64" s="2" t="s">
        <v>2</v>
      </c>
      <c r="G64" s="2" t="s">
        <v>3</v>
      </c>
      <c r="H64" s="2" t="s">
        <v>33</v>
      </c>
      <c r="I64" s="2" t="s">
        <v>34</v>
      </c>
      <c r="M64" s="2" t="str">
        <f>TRIM(_xlfn.CONCAT(F64," ",G64," ",H64," ",I64," ",J64," ",K64," ",L64))</f>
        <v>Club Deportivo Oca S.O.S</v>
      </c>
      <c r="N64" s="3">
        <v>0.11013888888888888</v>
      </c>
      <c r="O64" s="3"/>
      <c r="R64" s="2">
        <v>61</v>
      </c>
      <c r="S64" s="2" t="s">
        <v>453</v>
      </c>
      <c r="T64" s="2" t="s">
        <v>454</v>
      </c>
      <c r="U64" s="2" t="s">
        <v>455</v>
      </c>
      <c r="V64" s="2">
        <v>2009</v>
      </c>
      <c r="W64" s="2" t="s">
        <v>2</v>
      </c>
      <c r="X64" s="2" t="s">
        <v>242</v>
      </c>
      <c r="Y64" s="2" t="s">
        <v>243</v>
      </c>
      <c r="AF64" s="2" t="str">
        <f>TRIM(_xlfn.CONCAT(W64," ",X64," ",Y64," ",Z64," ",AA64," ",AB64," ",AC64," ",AD64," ",AE64))</f>
        <v>Club Acuático Umia</v>
      </c>
      <c r="AG64" s="3">
        <v>9.7395833333333334E-2</v>
      </c>
      <c r="AH64" s="3"/>
      <c r="AK64" s="2">
        <v>62</v>
      </c>
      <c r="AL64" s="2" t="s">
        <v>257</v>
      </c>
      <c r="AM64" s="2" t="s">
        <v>141</v>
      </c>
      <c r="AN64" s="2" t="s">
        <v>700</v>
      </c>
      <c r="AO64" s="2">
        <v>1975</v>
      </c>
      <c r="AP64" s="2" t="s">
        <v>2</v>
      </c>
      <c r="AQ64" s="2" t="s">
        <v>3</v>
      </c>
      <c r="AR64" s="2" t="s">
        <v>535</v>
      </c>
      <c r="AS64" s="2" t="s">
        <v>63</v>
      </c>
      <c r="AT64" s="2" t="s">
        <v>536</v>
      </c>
      <c r="AY64" s="2" t="str">
        <f>TRIM(_xlfn.CONCAT(AP64," ",AQ64," ",AR64," ",AS64," ",AT64," ",AU64," ",AV64," ",AW64," ",AX64))</f>
        <v>Club Deportivo Sirenas de Catarroja</v>
      </c>
      <c r="AZ64" s="3">
        <v>0.15372685185185186</v>
      </c>
      <c r="BA64" s="3"/>
      <c r="BB64" s="2">
        <v>1</v>
      </c>
      <c r="BD64" s="2">
        <v>26</v>
      </c>
      <c r="BE64" s="2" t="s">
        <v>183</v>
      </c>
      <c r="BF64" s="2" t="s">
        <v>784</v>
      </c>
      <c r="BG64" s="2" t="s">
        <v>332</v>
      </c>
      <c r="BH64" s="2">
        <v>1978</v>
      </c>
      <c r="BI64" s="2" t="s">
        <v>2</v>
      </c>
      <c r="BJ64" s="2" t="s">
        <v>3</v>
      </c>
      <c r="BK64" s="2" t="s">
        <v>4</v>
      </c>
      <c r="BL64" s="2" t="s">
        <v>5</v>
      </c>
      <c r="BR64" s="2" t="str">
        <f>TRIM(_xlfn.CONCAT(BI64," ",BJ64," ",BK64," ",BL64," ",BM64," ",BN64," ",BO64," ",BP64," ",BQ64))</f>
        <v>Club Deportivo Natación Aldaia</v>
      </c>
      <c r="BS64" s="3">
        <v>0.14877314814814815</v>
      </c>
      <c r="BT64" s="3"/>
    </row>
    <row r="65" spans="1:73" x14ac:dyDescent="0.6">
      <c r="A65" s="2">
        <v>61</v>
      </c>
      <c r="B65" s="2" t="s">
        <v>205</v>
      </c>
      <c r="C65" s="2" t="s">
        <v>206</v>
      </c>
      <c r="D65" s="2" t="s">
        <v>207</v>
      </c>
      <c r="E65" s="2">
        <v>2010</v>
      </c>
      <c r="F65" s="2" t="s">
        <v>2</v>
      </c>
      <c r="G65" s="2" t="s">
        <v>63</v>
      </c>
      <c r="H65" s="2" t="s">
        <v>9</v>
      </c>
      <c r="I65" s="2" t="s">
        <v>143</v>
      </c>
      <c r="J65" s="2" t="s">
        <v>11</v>
      </c>
      <c r="K65" s="2" t="s">
        <v>144</v>
      </c>
      <c r="M65" s="2" t="str">
        <f>TRIM(_xlfn.CONCAT(F65," ",G65," ",H65," ",I65," ",J65," ",K65," ",L65))</f>
        <v>Club de Salvamento SVAT - Tarancón</v>
      </c>
      <c r="N65" s="3">
        <v>0.10975694444444445</v>
      </c>
      <c r="O65" s="3"/>
      <c r="R65" s="2">
        <v>62</v>
      </c>
      <c r="S65" s="2" t="s">
        <v>257</v>
      </c>
      <c r="T65" s="2" t="s">
        <v>456</v>
      </c>
      <c r="U65" s="2" t="s">
        <v>457</v>
      </c>
      <c r="V65" s="2">
        <v>2009</v>
      </c>
      <c r="W65" s="2" t="s">
        <v>2</v>
      </c>
      <c r="X65" s="2" t="s">
        <v>4</v>
      </c>
      <c r="Y65" s="2" t="s">
        <v>27</v>
      </c>
      <c r="Z65" s="2" t="s">
        <v>9</v>
      </c>
      <c r="AA65" s="2" t="s">
        <v>98</v>
      </c>
      <c r="AB65" s="2" t="s">
        <v>99</v>
      </c>
      <c r="AF65" s="2" t="str">
        <f>TRIM(_xlfn.CONCAT(W65," ",X65," ",Y65," ",Z65," ",AA65," ",AB65," ",AC65," ",AD65," ",AE65))</f>
        <v>Club Natación y Salvamento Oriol Imperial</v>
      </c>
      <c r="AG65" s="3">
        <v>9.7592592592592592E-2</v>
      </c>
      <c r="AH65" s="3"/>
      <c r="AK65" s="2">
        <v>63</v>
      </c>
      <c r="AL65" s="2" t="s">
        <v>333</v>
      </c>
      <c r="AM65" s="2" t="s">
        <v>594</v>
      </c>
      <c r="AN65" s="2" t="s">
        <v>15</v>
      </c>
      <c r="AO65" s="2">
        <v>1972</v>
      </c>
      <c r="AP65" s="2" t="s">
        <v>2</v>
      </c>
      <c r="AQ65" s="2" t="s">
        <v>3</v>
      </c>
      <c r="AR65" s="2" t="s">
        <v>33</v>
      </c>
      <c r="AS65" s="2" t="s">
        <v>34</v>
      </c>
      <c r="AY65" s="2" t="str">
        <f>TRIM(_xlfn.CONCAT(AP65," ",AQ65," ",AR65," ",AS65," ",AT65," ",AU65," ",AV65," ",AW65," ",AX65))</f>
        <v>Club Deportivo Oca S.O.S</v>
      </c>
      <c r="AZ65" s="3">
        <v>0.1585300925925926</v>
      </c>
      <c r="BA65" s="3"/>
      <c r="BD65" s="2">
        <v>27</v>
      </c>
      <c r="BE65" s="2" t="s">
        <v>785</v>
      </c>
      <c r="BF65" s="2" t="s">
        <v>219</v>
      </c>
      <c r="BG65" s="2" t="s">
        <v>398</v>
      </c>
      <c r="BH65" s="2">
        <v>1978</v>
      </c>
      <c r="BI65" s="2" t="s">
        <v>2</v>
      </c>
      <c r="BJ65" s="2" t="s">
        <v>108</v>
      </c>
      <c r="BK65" s="2" t="s">
        <v>109</v>
      </c>
      <c r="BR65" s="2" t="str">
        <f>TRIM(_xlfn.CONCAT(BI65," ",BJ65," ",BK65," ",BL65," ",BM65," ",BN65," ",BO65," ",BP65," ",BQ65))</f>
        <v>Club A.C.N. Marisma</v>
      </c>
      <c r="BS65" s="3">
        <v>0.15406249999999999</v>
      </c>
      <c r="BT65" s="3"/>
    </row>
    <row r="66" spans="1:73" x14ac:dyDescent="0.6">
      <c r="A66" s="2">
        <v>62</v>
      </c>
      <c r="B66" s="2" t="s">
        <v>208</v>
      </c>
      <c r="C66" s="2" t="s">
        <v>209</v>
      </c>
      <c r="D66" s="2" t="s">
        <v>207</v>
      </c>
      <c r="E66" s="2">
        <v>2005</v>
      </c>
      <c r="F66" s="2" t="s">
        <v>2</v>
      </c>
      <c r="G66" s="2" t="s">
        <v>210</v>
      </c>
      <c r="M66" s="2" t="str">
        <f>TRIM(_xlfn.CONCAT(F66," ",G66," ",H66," ",I66," ",J66," ",K66," ",L66))</f>
        <v>Club Leucante</v>
      </c>
      <c r="N66" s="3">
        <v>0.10976851851851852</v>
      </c>
      <c r="O66" s="3"/>
      <c r="R66" s="2">
        <v>63</v>
      </c>
      <c r="S66" s="2" t="s">
        <v>333</v>
      </c>
      <c r="T66" s="2" t="s">
        <v>31</v>
      </c>
      <c r="U66" s="2" t="s">
        <v>440</v>
      </c>
      <c r="V66" s="2">
        <v>2005</v>
      </c>
      <c r="W66" s="2" t="s">
        <v>2</v>
      </c>
      <c r="X66" s="2" t="s">
        <v>3</v>
      </c>
      <c r="Y66" s="2" t="s">
        <v>33</v>
      </c>
      <c r="Z66" s="2" t="s">
        <v>34</v>
      </c>
      <c r="AF66" s="2" t="str">
        <f>TRIM(_xlfn.CONCAT(W66," ",X66," ",Y66," ",Z66," ",AA66," ",AB66," ",AC66," ",AD66," ",AE66))</f>
        <v>Club Deportivo Oca S.O.S</v>
      </c>
      <c r="AG66" s="3">
        <v>9.7650462962962967E-2</v>
      </c>
      <c r="AH66" s="3"/>
      <c r="AK66" s="2">
        <v>64</v>
      </c>
      <c r="AL66" s="2" t="s">
        <v>458</v>
      </c>
      <c r="AM66" s="2" t="s">
        <v>654</v>
      </c>
      <c r="AN66" s="2" t="s">
        <v>54</v>
      </c>
      <c r="AO66" s="2">
        <v>1975</v>
      </c>
      <c r="AP66" s="2" t="s">
        <v>2</v>
      </c>
      <c r="AQ66" s="2" t="s">
        <v>3</v>
      </c>
      <c r="AR66" s="2" t="s">
        <v>535</v>
      </c>
      <c r="AS66" s="2" t="s">
        <v>63</v>
      </c>
      <c r="AT66" s="2" t="s">
        <v>536</v>
      </c>
      <c r="AY66" s="2" t="str">
        <f>TRIM(_xlfn.CONCAT(AP66," ",AQ66," ",AR66," ",AS66," ",AT66," ",AU66," ",AV66," ",AW66," ",AX66))</f>
        <v>Club Deportivo Sirenas de Catarroja</v>
      </c>
      <c r="AZ66" s="3">
        <v>0.16552083333333334</v>
      </c>
      <c r="BA66" s="3"/>
      <c r="BD66" s="2">
        <v>28</v>
      </c>
      <c r="BE66" s="2" t="s">
        <v>516</v>
      </c>
      <c r="BF66" s="2" t="s">
        <v>398</v>
      </c>
      <c r="BH66" s="2">
        <v>1976</v>
      </c>
      <c r="BI66" s="2" t="s">
        <v>466</v>
      </c>
      <c r="BJ66" s="2" t="s">
        <v>467</v>
      </c>
      <c r="BK66" s="2" t="s">
        <v>34</v>
      </c>
      <c r="BR66" s="2" t="str">
        <f>TRIM(_xlfn.CONCAT(BI66," ",BJ66," ",BK66," ",BL66," ",BM66," ",BN66," ",BO66," ",BP66," ",BQ66))</f>
        <v>C.D.B. Vallecas S.O.S</v>
      </c>
      <c r="BS66" s="3">
        <v>0.17878472222222222</v>
      </c>
      <c r="BT66" s="3"/>
    </row>
    <row r="67" spans="1:73" x14ac:dyDescent="0.6">
      <c r="A67" s="2">
        <v>63</v>
      </c>
      <c r="B67" s="2" t="s">
        <v>141</v>
      </c>
      <c r="C67" s="2" t="s">
        <v>211</v>
      </c>
      <c r="D67" s="2" t="s">
        <v>212</v>
      </c>
      <c r="E67" s="2">
        <v>2008</v>
      </c>
      <c r="F67" s="2" t="s">
        <v>2</v>
      </c>
      <c r="G67" s="2" t="s">
        <v>3</v>
      </c>
      <c r="H67" s="2" t="s">
        <v>197</v>
      </c>
      <c r="I67" s="2" t="s">
        <v>198</v>
      </c>
      <c r="M67" s="2" t="str">
        <f>TRIM(_xlfn.CONCAT(F67," ",G67," ",H67," ",I67," ",J67," ",K67," ",L67))</f>
        <v>Club Deportivo Talasa Torremolinos</v>
      </c>
      <c r="N67" s="3">
        <v>0.10995370370370371</v>
      </c>
      <c r="O67" s="3"/>
      <c r="R67" s="2">
        <v>64</v>
      </c>
      <c r="S67" s="2" t="s">
        <v>458</v>
      </c>
      <c r="T67" s="2" t="s">
        <v>459</v>
      </c>
      <c r="U67" s="2" t="s">
        <v>460</v>
      </c>
      <c r="V67" s="2">
        <v>2010</v>
      </c>
      <c r="W67" s="2" t="s">
        <v>2</v>
      </c>
      <c r="X67" s="2" t="s">
        <v>9</v>
      </c>
      <c r="Y67" s="2" t="s">
        <v>116</v>
      </c>
      <c r="AF67" s="2" t="str">
        <f>TRIM(_xlfn.CONCAT(W67," ",X67," ",Y67," ",Z67," ",AA67," ",AB67," ",AC67," ",AD67," ",AE67))</f>
        <v>Club Salvamento Vilagarcía</v>
      </c>
      <c r="AG67" s="3">
        <v>9.7696759259259261E-2</v>
      </c>
      <c r="AH67" s="3"/>
      <c r="AK67" s="2">
        <v>65</v>
      </c>
      <c r="AL67" s="2" t="s">
        <v>461</v>
      </c>
      <c r="AM67" s="2" t="s">
        <v>59</v>
      </c>
      <c r="AN67" s="2" t="s">
        <v>613</v>
      </c>
      <c r="AO67" s="2">
        <v>1971</v>
      </c>
      <c r="AP67" s="2" t="s">
        <v>2</v>
      </c>
      <c r="AQ67" s="2" t="s">
        <v>9</v>
      </c>
      <c r="AR67" s="2" t="s">
        <v>27</v>
      </c>
      <c r="AS67" s="2" t="s">
        <v>28</v>
      </c>
      <c r="AT67" s="2" t="s">
        <v>139</v>
      </c>
      <c r="AU67" s="2" t="s">
        <v>11</v>
      </c>
      <c r="AV67" s="2" t="s">
        <v>140</v>
      </c>
      <c r="AY67" s="2" t="str">
        <f>TRIM(_xlfn.CONCAT(AP67," ",AQ67," ",AR67," ",AS67," ",AT67," ",AU67," ",AV67," ",AW67," ",AX67))</f>
        <v>Club Salvamento y Socorrismo Carballo - SYSCA</v>
      </c>
      <c r="AZ67" s="3">
        <v>0.17148148148148148</v>
      </c>
      <c r="BA67" s="3"/>
      <c r="BD67" s="2">
        <v>29</v>
      </c>
      <c r="BE67" s="2" t="s">
        <v>786</v>
      </c>
      <c r="BF67" s="2" t="s">
        <v>787</v>
      </c>
      <c r="BG67" s="2" t="s">
        <v>788</v>
      </c>
      <c r="BH67" s="2">
        <v>1978</v>
      </c>
      <c r="BI67" s="2" t="s">
        <v>62</v>
      </c>
      <c r="BJ67" s="2" t="s">
        <v>63</v>
      </c>
      <c r="BK67" s="2" t="s">
        <v>9</v>
      </c>
      <c r="BL67" s="2" t="s">
        <v>27</v>
      </c>
      <c r="BM67" s="2" t="s">
        <v>28</v>
      </c>
      <c r="BR67" s="2" t="str">
        <f>TRIM(_xlfn.CONCAT(BI67," ",BJ67," ",BK67," ",BL67," ",BM67," ",BN67," ",BO67," ",BP67," ",BQ67))</f>
        <v>Alcarreño de Salvamento y Socorrismo</v>
      </c>
      <c r="BS67" s="3" t="s">
        <v>264</v>
      </c>
      <c r="BT67" s="3"/>
    </row>
    <row r="68" spans="1:73" x14ac:dyDescent="0.6">
      <c r="A68" s="2">
        <v>64</v>
      </c>
      <c r="B68" s="2" t="s">
        <v>213</v>
      </c>
      <c r="C68" s="2" t="s">
        <v>214</v>
      </c>
      <c r="D68" s="2" t="s">
        <v>203</v>
      </c>
      <c r="E68" s="2">
        <v>2006</v>
      </c>
      <c r="F68" s="2" t="s">
        <v>62</v>
      </c>
      <c r="G68" s="2" t="s">
        <v>63</v>
      </c>
      <c r="H68" s="2" t="s">
        <v>9</v>
      </c>
      <c r="I68" s="2" t="s">
        <v>27</v>
      </c>
      <c r="J68" s="2" t="s">
        <v>28</v>
      </c>
      <c r="M68" s="2" t="str">
        <f>TRIM(_xlfn.CONCAT(F68," ",G68," ",H68," ",I68," ",J68," ",K68," ",L68))</f>
        <v>Alcarreño de Salvamento y Socorrismo</v>
      </c>
      <c r="N68" s="3">
        <v>0.11010416666666667</v>
      </c>
      <c r="O68" s="3"/>
      <c r="R68" s="2">
        <v>65</v>
      </c>
      <c r="S68" s="2" t="s">
        <v>461</v>
      </c>
      <c r="T68" s="2" t="s">
        <v>462</v>
      </c>
      <c r="U68" s="2" t="s">
        <v>463</v>
      </c>
      <c r="V68" s="2">
        <v>2010</v>
      </c>
      <c r="W68" s="2" t="s">
        <v>2</v>
      </c>
      <c r="X68" s="2" t="s">
        <v>4</v>
      </c>
      <c r="Y68" s="2" t="s">
        <v>27</v>
      </c>
      <c r="Z68" s="2" t="s">
        <v>9</v>
      </c>
      <c r="AA68" s="2" t="s">
        <v>98</v>
      </c>
      <c r="AB68" s="2" t="s">
        <v>99</v>
      </c>
      <c r="AF68" s="2" t="str">
        <f>TRIM(_xlfn.CONCAT(W68," ",X68," ",Y68," ",Z68," ",AA68," ",AB68," ",AC68," ",AD68," ",AE68))</f>
        <v>Club Natación y Salvamento Oriol Imperial</v>
      </c>
      <c r="AG68" s="3">
        <v>9.8125000000000004E-2</v>
      </c>
      <c r="AH68" s="3"/>
      <c r="AK68" s="2">
        <v>66</v>
      </c>
      <c r="AL68" s="2" t="s">
        <v>464</v>
      </c>
      <c r="AM68" s="2" t="s">
        <v>31</v>
      </c>
      <c r="AN68" s="2" t="s">
        <v>655</v>
      </c>
      <c r="AO68" s="2">
        <v>1972</v>
      </c>
      <c r="AP68" s="2" t="s">
        <v>171</v>
      </c>
      <c r="AQ68" s="2" t="s">
        <v>172</v>
      </c>
      <c r="AR68" s="2" t="s">
        <v>9</v>
      </c>
      <c r="AY68" s="2" t="str">
        <f>TRIM(_xlfn.CONCAT(AP68," ",AQ68," ",AR68," ",AS68," ",AT68," ",AU68," ",AV68," ",AW68," ",AX68))</f>
        <v>C.D.E Pacífico Salvamento</v>
      </c>
      <c r="AZ68" s="3">
        <v>0.17494212962962963</v>
      </c>
      <c r="BA68" s="3"/>
      <c r="BD68" s="2">
        <v>30</v>
      </c>
      <c r="BE68" s="2" t="s">
        <v>133</v>
      </c>
      <c r="BF68" s="2" t="s">
        <v>141</v>
      </c>
      <c r="BG68" s="2" t="s">
        <v>439</v>
      </c>
      <c r="BH68" s="2">
        <v>1980</v>
      </c>
      <c r="BI68" s="2" t="s">
        <v>2</v>
      </c>
      <c r="BJ68" s="2" t="s">
        <v>3</v>
      </c>
      <c r="BK68" s="2" t="s">
        <v>535</v>
      </c>
      <c r="BL68" s="2" t="s">
        <v>63</v>
      </c>
      <c r="BM68" s="2" t="s">
        <v>536</v>
      </c>
      <c r="BR68" s="2" t="str">
        <f>TRIM(_xlfn.CONCAT(BI68," ",BJ68," ",BK68," ",BL68," ",BM68," ",BN68," ",BO68," ",BP68," ",BQ68))</f>
        <v>Club Deportivo Sirenas de Catarroja</v>
      </c>
      <c r="BS68" s="3" t="s">
        <v>264</v>
      </c>
      <c r="BT68" s="3"/>
    </row>
    <row r="69" spans="1:73" x14ac:dyDescent="0.6">
      <c r="A69" s="2">
        <v>65</v>
      </c>
      <c r="B69" s="2" t="s">
        <v>209</v>
      </c>
      <c r="C69" s="2" t="s">
        <v>215</v>
      </c>
      <c r="D69" s="2" t="s">
        <v>216</v>
      </c>
      <c r="E69" s="2">
        <v>2009</v>
      </c>
      <c r="F69" s="2" t="s">
        <v>2</v>
      </c>
      <c r="G69" s="2" t="s">
        <v>63</v>
      </c>
      <c r="H69" s="2" t="s">
        <v>9</v>
      </c>
      <c r="I69" s="2" t="s">
        <v>143</v>
      </c>
      <c r="J69" s="2" t="s">
        <v>11</v>
      </c>
      <c r="K69" s="2" t="s">
        <v>144</v>
      </c>
      <c r="M69" s="2" t="str">
        <f>TRIM(_xlfn.CONCAT(F69," ",G69," ",H69," ",I69," ",J69," ",K69," ",L69))</f>
        <v>Club de Salvamento SVAT - Tarancón</v>
      </c>
      <c r="N69" s="3">
        <v>0.1104861111111111</v>
      </c>
      <c r="O69" s="3"/>
      <c r="R69" s="2">
        <v>66</v>
      </c>
      <c r="S69" s="2" t="s">
        <v>464</v>
      </c>
      <c r="T69" s="2" t="s">
        <v>394</v>
      </c>
      <c r="U69" s="2" t="s">
        <v>369</v>
      </c>
      <c r="V69" s="2">
        <v>2005</v>
      </c>
      <c r="W69" s="2" t="s">
        <v>62</v>
      </c>
      <c r="X69" s="2" t="s">
        <v>63</v>
      </c>
      <c r="Y69" s="2" t="s">
        <v>9</v>
      </c>
      <c r="Z69" s="2" t="s">
        <v>27</v>
      </c>
      <c r="AA69" s="2" t="s">
        <v>28</v>
      </c>
      <c r="AF69" s="2" t="str">
        <f>TRIM(_xlfn.CONCAT(W69," ",X69," ",Y69," ",Z69," ",AA69," ",AB69," ",AC69," ",AD69," ",AE69))</f>
        <v>Alcarreño de Salvamento y Socorrismo</v>
      </c>
      <c r="AG69" s="3">
        <v>9.8298611111111114E-2</v>
      </c>
      <c r="AH69" s="3"/>
      <c r="AK69" s="2">
        <v>67</v>
      </c>
      <c r="AL69" s="2" t="s">
        <v>209</v>
      </c>
      <c r="AM69" s="2" t="s">
        <v>656</v>
      </c>
      <c r="AN69" s="2" t="s">
        <v>644</v>
      </c>
      <c r="AO69" s="2">
        <v>1971</v>
      </c>
      <c r="AP69" s="2" t="s">
        <v>4</v>
      </c>
      <c r="AQ69" s="2" t="s">
        <v>635</v>
      </c>
      <c r="AY69" s="2" t="str">
        <f>TRIM(_xlfn.CONCAT(AP69," ",AQ69," ",AR69," ",AS69," ",AT69," ",AU69," ",AV69," ",AW69," ",AX69))</f>
        <v>Natación RACE</v>
      </c>
      <c r="AZ69" s="3">
        <v>0.17940972222222223</v>
      </c>
      <c r="BA69" s="3"/>
      <c r="BD69" s="2">
        <v>31</v>
      </c>
      <c r="BE69" s="2" t="s">
        <v>789</v>
      </c>
      <c r="BF69" s="2" t="s">
        <v>728</v>
      </c>
      <c r="BG69" s="2" t="s">
        <v>790</v>
      </c>
      <c r="BH69" s="2">
        <v>1978</v>
      </c>
      <c r="BI69" s="2" t="s">
        <v>2</v>
      </c>
      <c r="BJ69" s="2" t="s">
        <v>3</v>
      </c>
      <c r="BK69" s="2" t="s">
        <v>33</v>
      </c>
      <c r="BL69" s="2" t="s">
        <v>34</v>
      </c>
      <c r="BR69" s="2" t="str">
        <f>TRIM(_xlfn.CONCAT(BI69," ",BJ69," ",BK69," ",BL69," ",BM69," ",BN69," ",BO69," ",BP69," ",BQ69))</f>
        <v>Club Deportivo Oca S.O.S</v>
      </c>
      <c r="BS69" s="3" t="s">
        <v>264</v>
      </c>
      <c r="BT69" s="3"/>
    </row>
    <row r="70" spans="1:73" x14ac:dyDescent="0.6">
      <c r="A70" s="2">
        <v>66</v>
      </c>
      <c r="B70" s="2" t="s">
        <v>151</v>
      </c>
      <c r="C70" s="2" t="s">
        <v>217</v>
      </c>
      <c r="D70" s="2" t="s">
        <v>170</v>
      </c>
      <c r="E70" s="2">
        <v>2010</v>
      </c>
      <c r="F70" s="2" t="s">
        <v>2</v>
      </c>
      <c r="G70" s="2" t="s">
        <v>3</v>
      </c>
      <c r="H70" s="2" t="s">
        <v>4</v>
      </c>
      <c r="I70" s="2" t="s">
        <v>5</v>
      </c>
      <c r="M70" s="2" t="str">
        <f>TRIM(_xlfn.CONCAT(F70," ",G70," ",H70," ",I70," ",J70," ",K70," ",L70))</f>
        <v>Club Deportivo Natación Aldaia</v>
      </c>
      <c r="N70" s="3">
        <v>0.11196759259259259</v>
      </c>
      <c r="O70" s="3"/>
      <c r="R70" s="2">
        <v>67</v>
      </c>
      <c r="S70" s="2" t="s">
        <v>209</v>
      </c>
      <c r="T70" s="2" t="s">
        <v>465</v>
      </c>
      <c r="U70" s="2" t="s">
        <v>318</v>
      </c>
      <c r="V70" s="2">
        <v>2008</v>
      </c>
      <c r="W70" s="2" t="s">
        <v>2</v>
      </c>
      <c r="X70" s="2" t="s">
        <v>93</v>
      </c>
      <c r="Y70" s="2" t="s">
        <v>63</v>
      </c>
      <c r="Z70" s="2" t="s">
        <v>167</v>
      </c>
      <c r="AA70" s="2" t="s">
        <v>168</v>
      </c>
      <c r="AF70" s="2" t="str">
        <f>TRIM(_xlfn.CONCAT(W70," ",X70," ",Y70," ",Z70," ",AA70," ",AB70," ",AC70," ",AD70," ",AE70))</f>
        <v>Club Playas de Castro Urdiales</v>
      </c>
      <c r="AG70" s="3">
        <v>9.7928240740740746E-2</v>
      </c>
      <c r="AH70" s="3"/>
      <c r="AK70" s="2">
        <v>68</v>
      </c>
      <c r="AL70" s="2" t="s">
        <v>141</v>
      </c>
      <c r="AM70" s="2" t="s">
        <v>30</v>
      </c>
      <c r="AN70" s="2" t="s">
        <v>241</v>
      </c>
      <c r="AO70" s="2">
        <v>1973</v>
      </c>
      <c r="AP70" s="2" t="s">
        <v>2</v>
      </c>
      <c r="AQ70" s="2" t="s">
        <v>108</v>
      </c>
      <c r="AR70" s="2" t="s">
        <v>109</v>
      </c>
      <c r="AY70" s="2" t="str">
        <f>TRIM(_xlfn.CONCAT(AP70," ",AQ70," ",AR70," ",AS70," ",AT70," ",AU70," ",AV70," ",AW70," ",AX70))</f>
        <v>Club A.C.N. Marisma</v>
      </c>
      <c r="AZ70" s="3">
        <v>0.18975694444444444</v>
      </c>
      <c r="BA70" s="3"/>
      <c r="BD70" s="2">
        <v>32</v>
      </c>
      <c r="BE70" s="2" t="s">
        <v>791</v>
      </c>
      <c r="BF70" s="2" t="s">
        <v>792</v>
      </c>
      <c r="BG70" s="2" t="s">
        <v>793</v>
      </c>
      <c r="BH70" s="2">
        <v>1979</v>
      </c>
      <c r="BI70" s="2" t="s">
        <v>162</v>
      </c>
      <c r="BJ70" s="2" t="s">
        <v>2</v>
      </c>
      <c r="BK70" s="2" t="s">
        <v>163</v>
      </c>
      <c r="BL70" s="2" t="s">
        <v>63</v>
      </c>
      <c r="BM70" s="2" t="s">
        <v>164</v>
      </c>
      <c r="BR70" s="2" t="str">
        <f>TRIM(_xlfn.CONCAT(BI70," ",BJ70," ",BK70," ",BL70," ",BM70," ",BN70," ",BO70," ",BP70," ",BQ70))</f>
        <v>Real Club Náutico de Tenerife</v>
      </c>
      <c r="BS70" s="3" t="s">
        <v>264</v>
      </c>
      <c r="BT70" s="3"/>
    </row>
    <row r="71" spans="1:73" x14ac:dyDescent="0.6">
      <c r="A71" s="2">
        <v>67</v>
      </c>
      <c r="B71" s="2" t="s">
        <v>149</v>
      </c>
      <c r="C71" s="2" t="s">
        <v>218</v>
      </c>
      <c r="D71" s="2" t="s">
        <v>112</v>
      </c>
      <c r="E71" s="2">
        <v>2010</v>
      </c>
      <c r="F71" s="2" t="s">
        <v>2</v>
      </c>
      <c r="G71" s="2" t="s">
        <v>4</v>
      </c>
      <c r="H71" s="2" t="s">
        <v>27</v>
      </c>
      <c r="I71" s="2" t="s">
        <v>9</v>
      </c>
      <c r="J71" s="2" t="s">
        <v>75</v>
      </c>
      <c r="M71" s="2" t="str">
        <f>TRIM(_xlfn.CONCAT(F71," ",G71," ",H71," ",I71," ",J71," ",K71," ",L71))</f>
        <v>Club Natación y Salvamento Albasit</v>
      </c>
      <c r="N71" s="3">
        <v>0.11181712962962963</v>
      </c>
      <c r="O71" s="3"/>
      <c r="R71" s="2">
        <v>68</v>
      </c>
      <c r="S71" s="2" t="s">
        <v>141</v>
      </c>
      <c r="T71" s="2" t="s">
        <v>458</v>
      </c>
      <c r="U71" s="2" t="s">
        <v>439</v>
      </c>
      <c r="V71" s="2">
        <v>2008</v>
      </c>
      <c r="W71" s="2" t="s">
        <v>466</v>
      </c>
      <c r="X71" s="2" t="s">
        <v>467</v>
      </c>
      <c r="Y71" s="2" t="s">
        <v>34</v>
      </c>
      <c r="AF71" s="2" t="str">
        <f>TRIM(_xlfn.CONCAT(W71," ",X71," ",Y71," ",Z71," ",AA71," ",AB71," ",AC71," ",AD71," ",AE71))</f>
        <v>C.D.B. Vallecas S.O.S</v>
      </c>
      <c r="AG71" s="3">
        <v>9.7951388888888893E-2</v>
      </c>
      <c r="AH71" s="3"/>
      <c r="AK71" s="2">
        <v>69</v>
      </c>
      <c r="AL71" s="2" t="s">
        <v>424</v>
      </c>
      <c r="AM71" s="2" t="s">
        <v>657</v>
      </c>
      <c r="AN71" s="2" t="s">
        <v>156</v>
      </c>
      <c r="AO71" s="2">
        <v>1975</v>
      </c>
      <c r="AP71" s="2" t="s">
        <v>572</v>
      </c>
      <c r="AQ71" s="2" t="s">
        <v>573</v>
      </c>
      <c r="AR71" s="2" t="s">
        <v>574</v>
      </c>
      <c r="AS71" s="2" t="s">
        <v>575</v>
      </c>
      <c r="AY71" s="2" t="str">
        <f>TRIM(_xlfn.CONCAT(AP71," ",AQ71," ",AR71," ",AS71," ",AT71," ",AU71," ",AV71," ",AW71," ",AX71))</f>
        <v>Loredo Surf Life Saving</v>
      </c>
      <c r="AZ71" s="3" t="s">
        <v>264</v>
      </c>
      <c r="BA71" s="3"/>
      <c r="BD71" s="2">
        <v>33</v>
      </c>
      <c r="BE71" s="2" t="s">
        <v>141</v>
      </c>
      <c r="BF71" s="2" t="s">
        <v>794</v>
      </c>
      <c r="BG71" s="2" t="s">
        <v>795</v>
      </c>
      <c r="BH71" s="2">
        <v>1978</v>
      </c>
      <c r="BI71" s="2" t="s">
        <v>2</v>
      </c>
      <c r="BJ71" s="2" t="s">
        <v>4</v>
      </c>
      <c r="BK71" s="2" t="s">
        <v>27</v>
      </c>
      <c r="BL71" s="2" t="s">
        <v>9</v>
      </c>
      <c r="BM71" s="2" t="s">
        <v>75</v>
      </c>
      <c r="BR71" s="2" t="str">
        <f>TRIM(_xlfn.CONCAT(BI71," ",BJ71," ",BK71," ",BL71," ",BM71," ",BN71," ",BO71," ",BP71," ",BQ71))</f>
        <v>Club Natación y Salvamento Albasit</v>
      </c>
      <c r="BS71" s="3" t="s">
        <v>281</v>
      </c>
      <c r="BT71" s="3"/>
      <c r="BU71" s="2">
        <v>1</v>
      </c>
    </row>
    <row r="72" spans="1:73" x14ac:dyDescent="0.6">
      <c r="A72" s="2">
        <v>68</v>
      </c>
      <c r="B72" s="2" t="s">
        <v>149</v>
      </c>
      <c r="C72" s="2" t="s">
        <v>219</v>
      </c>
      <c r="D72" s="2" t="s">
        <v>87</v>
      </c>
      <c r="E72" s="2">
        <v>2008</v>
      </c>
      <c r="F72" s="2" t="s">
        <v>2</v>
      </c>
      <c r="G72" s="2" t="s">
        <v>4</v>
      </c>
      <c r="H72" s="2" t="s">
        <v>27</v>
      </c>
      <c r="I72" s="2" t="s">
        <v>9</v>
      </c>
      <c r="J72" s="2" t="s">
        <v>98</v>
      </c>
      <c r="K72" s="2" t="s">
        <v>99</v>
      </c>
      <c r="M72" s="2" t="str">
        <f>TRIM(_xlfn.CONCAT(F72," ",G72," ",H72," ",I72," ",J72," ",K72," ",L72))</f>
        <v>Club Natación y Salvamento Oriol Imperial</v>
      </c>
      <c r="N72" s="3">
        <v>0.11233796296296296</v>
      </c>
      <c r="O72" s="3"/>
      <c r="R72" s="2">
        <v>69</v>
      </c>
      <c r="S72" s="2" t="s">
        <v>424</v>
      </c>
      <c r="T72" s="2" t="s">
        <v>111</v>
      </c>
      <c r="U72" s="2" t="s">
        <v>279</v>
      </c>
      <c r="V72" s="2">
        <v>2010</v>
      </c>
      <c r="W72" s="2" t="s">
        <v>2</v>
      </c>
      <c r="X72" s="2" t="s">
        <v>63</v>
      </c>
      <c r="Y72" s="2" t="s">
        <v>9</v>
      </c>
      <c r="Z72" s="2" t="s">
        <v>143</v>
      </c>
      <c r="AA72" s="2" t="s">
        <v>11</v>
      </c>
      <c r="AB72" s="2" t="s">
        <v>144</v>
      </c>
      <c r="AF72" s="2" t="str">
        <f>TRIM(_xlfn.CONCAT(W72," ",X72," ",Y72," ",Z72," ",AA72," ",AB72," ",AC72," ",AD72," ",AE72))</f>
        <v>Club de Salvamento SVAT - Tarancón</v>
      </c>
      <c r="AG72" s="3">
        <v>9.7997685185185188E-2</v>
      </c>
      <c r="AH72" s="3"/>
      <c r="AK72" s="2">
        <v>70</v>
      </c>
      <c r="AL72" s="2" t="s">
        <v>348</v>
      </c>
      <c r="AM72" s="2" t="s">
        <v>698</v>
      </c>
      <c r="AN72" s="2" t="s">
        <v>659</v>
      </c>
      <c r="AO72" s="2">
        <v>1971</v>
      </c>
      <c r="AP72" s="2" t="s">
        <v>4</v>
      </c>
      <c r="AQ72" s="2" t="s">
        <v>635</v>
      </c>
      <c r="AR72" s="2" t="s">
        <v>264</v>
      </c>
      <c r="AY72" s="2" t="str">
        <f>TRIM(_xlfn.CONCAT(AP72," ",AQ72," ",AR72," ",AS72," ",AT72," ",AU72," ",AV72," ",AW72," ",AX72))</f>
        <v>Natación RACE Baja</v>
      </c>
      <c r="AZ72" s="3"/>
      <c r="BA72" s="3"/>
      <c r="BD72" s="2">
        <v>34</v>
      </c>
      <c r="BE72" s="2" t="s">
        <v>794</v>
      </c>
      <c r="BF72" s="2" t="s">
        <v>796</v>
      </c>
      <c r="BG72" s="2" t="s">
        <v>332</v>
      </c>
      <c r="BH72" s="2">
        <v>1978</v>
      </c>
      <c r="BI72" s="2" t="s">
        <v>2</v>
      </c>
      <c r="BJ72" s="2" t="s">
        <v>9</v>
      </c>
      <c r="BK72" s="2" t="s">
        <v>649</v>
      </c>
      <c r="BL72" s="2" t="s">
        <v>650</v>
      </c>
      <c r="BR72" s="2" t="str">
        <f>TRIM(_xlfn.CONCAT(BI72," ",BJ72," ",BK72," ",BL72," ",BM72," ",BN72," ",BO72," ",BP72," ",BQ72))</f>
        <v>Club Salvamento Los Locos</v>
      </c>
      <c r="BS72" s="3" t="s">
        <v>281</v>
      </c>
      <c r="BT72" s="3"/>
      <c r="BU72" s="2">
        <v>1</v>
      </c>
    </row>
    <row r="73" spans="1:73" x14ac:dyDescent="0.6">
      <c r="A73" s="2">
        <v>69</v>
      </c>
      <c r="B73" s="2" t="s">
        <v>209</v>
      </c>
      <c r="C73" s="2" t="s">
        <v>220</v>
      </c>
      <c r="D73" s="2" t="s">
        <v>221</v>
      </c>
      <c r="E73" s="2">
        <v>2008</v>
      </c>
      <c r="F73" s="2" t="s">
        <v>2</v>
      </c>
      <c r="G73" s="2" t="s">
        <v>210</v>
      </c>
      <c r="M73" s="2" t="str">
        <f>TRIM(_xlfn.CONCAT(F73," ",G73," ",H73," ",I73," ",J73," ",K73," ",L73))</f>
        <v>Club Leucante</v>
      </c>
      <c r="N73" s="3">
        <v>0.11418981481481481</v>
      </c>
      <c r="O73" s="3"/>
      <c r="R73" s="2">
        <v>70</v>
      </c>
      <c r="S73" s="2" t="s">
        <v>348</v>
      </c>
      <c r="T73" s="2" t="s">
        <v>468</v>
      </c>
      <c r="U73" s="2" t="s">
        <v>351</v>
      </c>
      <c r="V73" s="2">
        <v>2008</v>
      </c>
      <c r="W73" s="2" t="s">
        <v>2</v>
      </c>
      <c r="X73" s="2" t="s">
        <v>88</v>
      </c>
      <c r="Y73" s="2" t="s">
        <v>43</v>
      </c>
      <c r="AF73" s="2" t="str">
        <f>TRIM(_xlfn.CONCAT(W73," ",X73," ",Y73," ",Z73," ",AA73," ",AB73," ",AC73," ",AD73," ",AE73))</f>
        <v>Club Laguna SOS</v>
      </c>
      <c r="AG73" s="3">
        <v>9.8645833333333335E-2</v>
      </c>
      <c r="AH73" s="3"/>
      <c r="AK73" s="2">
        <v>71</v>
      </c>
      <c r="AL73" s="2" t="s">
        <v>31</v>
      </c>
      <c r="AM73" s="2" t="s">
        <v>697</v>
      </c>
      <c r="AN73" s="2" t="s">
        <v>660</v>
      </c>
      <c r="AO73" s="2">
        <v>1966</v>
      </c>
      <c r="AP73" s="2" t="s">
        <v>162</v>
      </c>
      <c r="AQ73" s="2" t="s">
        <v>2</v>
      </c>
      <c r="AR73" s="2" t="s">
        <v>163</v>
      </c>
      <c r="AS73" s="2" t="s">
        <v>63</v>
      </c>
      <c r="AT73" s="2" t="s">
        <v>164</v>
      </c>
      <c r="AY73" s="2" t="str">
        <f>TRIM(_xlfn.CONCAT(AP73," ",AQ73," ",AR73," ",AS73," ",AT73," ",AU73," ",AV73," ",AW73," ",AX73))</f>
        <v>Real Club Náutico de Tenerife</v>
      </c>
      <c r="AZ73" s="3">
        <v>5.1018518518518519E-2</v>
      </c>
      <c r="BA73" s="3"/>
      <c r="BB73" s="2">
        <v>20</v>
      </c>
      <c r="BD73" s="2">
        <v>1</v>
      </c>
      <c r="BE73" s="2" t="s">
        <v>797</v>
      </c>
      <c r="BF73" s="2" t="s">
        <v>149</v>
      </c>
      <c r="BG73" s="2" t="s">
        <v>882</v>
      </c>
      <c r="BH73" s="2">
        <v>1971</v>
      </c>
      <c r="BI73" s="2" t="s">
        <v>572</v>
      </c>
      <c r="BJ73" s="2" t="s">
        <v>573</v>
      </c>
      <c r="BK73" s="2" t="s">
        <v>574</v>
      </c>
      <c r="BL73" s="2" t="s">
        <v>575</v>
      </c>
      <c r="BR73" s="2" t="str">
        <f>TRIM(_xlfn.CONCAT(BI73," ",BJ73," ",BK73," ",BL73," ",BM73," ",BN73," ",BO73," ",BP73," ",BQ73))</f>
        <v>Loredo Surf Life Saving</v>
      </c>
      <c r="BS73" s="3">
        <v>9.6331018518518524E-2</v>
      </c>
      <c r="BT73" s="3"/>
      <c r="BU73" s="2">
        <v>20</v>
      </c>
    </row>
    <row r="74" spans="1:73" x14ac:dyDescent="0.6">
      <c r="A74" s="2">
        <v>70</v>
      </c>
      <c r="B74" s="2" t="s">
        <v>222</v>
      </c>
      <c r="C74" s="2" t="s">
        <v>223</v>
      </c>
      <c r="D74" s="2" t="s">
        <v>224</v>
      </c>
      <c r="E74" s="2">
        <v>2008</v>
      </c>
      <c r="F74" s="2" t="s">
        <v>2</v>
      </c>
      <c r="G74" s="2" t="s">
        <v>4</v>
      </c>
      <c r="H74" s="2" t="s">
        <v>55</v>
      </c>
      <c r="M74" s="2" t="str">
        <f>TRIM(_xlfn.CONCAT(F74," ",G74," ",H74," ",I74," ",J74," ",K74," ",L74))</f>
        <v>Club Natación Guadalajara</v>
      </c>
      <c r="N74" s="3">
        <v>0.11430555555555555</v>
      </c>
      <c r="O74" s="3"/>
      <c r="R74" s="2">
        <v>71</v>
      </c>
      <c r="S74" s="2" t="s">
        <v>31</v>
      </c>
      <c r="T74" s="2" t="s">
        <v>469</v>
      </c>
      <c r="U74" s="2" t="s">
        <v>470</v>
      </c>
      <c r="V74" s="2">
        <v>2011</v>
      </c>
      <c r="W74" s="2" t="s">
        <v>62</v>
      </c>
      <c r="X74" s="2" t="s">
        <v>63</v>
      </c>
      <c r="Y74" s="2" t="s">
        <v>9</v>
      </c>
      <c r="Z74" s="2" t="s">
        <v>27</v>
      </c>
      <c r="AA74" s="2" t="s">
        <v>28</v>
      </c>
      <c r="AF74" s="2" t="str">
        <f>TRIM(_xlfn.CONCAT(W74," ",X74," ",Y74," ",Z74," ",AA74," ",AB74," ",AC74," ",AD74," ",AE74))</f>
        <v>Alcarreño de Salvamento y Socorrismo</v>
      </c>
      <c r="AG74" s="3">
        <v>9.8842592592592593E-2</v>
      </c>
      <c r="AH74" s="3"/>
      <c r="AK74" s="2">
        <v>72</v>
      </c>
      <c r="AL74" s="2" t="s">
        <v>176</v>
      </c>
      <c r="AM74" s="2" t="s">
        <v>270</v>
      </c>
      <c r="AN74" s="2" t="s">
        <v>706</v>
      </c>
      <c r="AO74" s="2">
        <v>1966</v>
      </c>
      <c r="AP74" s="2" t="s">
        <v>2</v>
      </c>
      <c r="AQ74" s="2" t="s">
        <v>22</v>
      </c>
      <c r="AR74" s="2" t="s">
        <v>104</v>
      </c>
      <c r="AS74" s="2" t="s">
        <v>105</v>
      </c>
      <c r="AY74" s="2" t="str">
        <f>TRIM(_xlfn.CONCAT(AP74," ",AQ74," ",AR74," ",AS74," ",AT74," ",AU74," ",AV74," ",AW74," ",AX74))</f>
        <v>Club Natació Reus Ploms</v>
      </c>
      <c r="AZ74" s="3">
        <v>5.6666666666666664E-2</v>
      </c>
      <c r="BA74" s="3"/>
      <c r="BB74" s="2">
        <v>18</v>
      </c>
      <c r="BD74" s="2">
        <v>2</v>
      </c>
      <c r="BE74" s="2" t="s">
        <v>149</v>
      </c>
      <c r="BF74" s="2" t="s">
        <v>798</v>
      </c>
      <c r="BG74" s="2" t="s">
        <v>883</v>
      </c>
      <c r="BH74" s="2">
        <v>1975</v>
      </c>
      <c r="BI74" s="2" t="s">
        <v>2</v>
      </c>
      <c r="BJ74" s="2" t="s">
        <v>4</v>
      </c>
      <c r="BK74" s="2" t="s">
        <v>585</v>
      </c>
      <c r="BL74" s="2" t="s">
        <v>586</v>
      </c>
      <c r="BM74" s="2" t="s">
        <v>587</v>
      </c>
      <c r="BR74" s="2" t="str">
        <f>TRIM(_xlfn.CONCAT(BI74," ",BJ74," ",BK74," ",BL74," ",BM74," ",BN74," ",BO74," ",BP74," ",BQ74))</f>
        <v>Club Natación Martiánez Coral Hotels</v>
      </c>
      <c r="BS74" s="3">
        <v>0.10216435185185185</v>
      </c>
      <c r="BT74" s="3"/>
      <c r="BU74" s="2">
        <v>18</v>
      </c>
    </row>
    <row r="75" spans="1:73" x14ac:dyDescent="0.6">
      <c r="A75" s="2">
        <v>71</v>
      </c>
      <c r="B75" s="2" t="s">
        <v>225</v>
      </c>
      <c r="C75" s="2" t="s">
        <v>226</v>
      </c>
      <c r="D75" s="2" t="s">
        <v>227</v>
      </c>
      <c r="E75" s="2">
        <v>2010</v>
      </c>
      <c r="F75" s="2" t="s">
        <v>2</v>
      </c>
      <c r="G75" s="2" t="s">
        <v>63</v>
      </c>
      <c r="H75" s="2" t="s">
        <v>9</v>
      </c>
      <c r="I75" s="2" t="s">
        <v>143</v>
      </c>
      <c r="J75" s="2" t="s">
        <v>11</v>
      </c>
      <c r="K75" s="2" t="s">
        <v>144</v>
      </c>
      <c r="M75" s="2" t="str">
        <f>TRIM(_xlfn.CONCAT(F75," ",G75," ",H75," ",I75," ",J75," ",K75," ",L75))</f>
        <v>Club de Salvamento SVAT - Tarancón</v>
      </c>
      <c r="N75" s="3">
        <v>0.11479166666666667</v>
      </c>
      <c r="O75" s="3"/>
      <c r="R75" s="2">
        <v>72</v>
      </c>
      <c r="S75" s="2" t="s">
        <v>176</v>
      </c>
      <c r="T75" s="2" t="s">
        <v>471</v>
      </c>
      <c r="U75" s="2" t="s">
        <v>472</v>
      </c>
      <c r="V75" s="2">
        <v>2008</v>
      </c>
      <c r="W75" s="2" t="s">
        <v>2</v>
      </c>
      <c r="X75" s="2" t="s">
        <v>93</v>
      </c>
      <c r="Y75" s="2" t="s">
        <v>63</v>
      </c>
      <c r="Z75" s="2" t="s">
        <v>167</v>
      </c>
      <c r="AA75" s="2" t="s">
        <v>168</v>
      </c>
      <c r="AF75" s="2" t="str">
        <f>TRIM(_xlfn.CONCAT(W75," ",X75," ",Y75," ",Z75," ",AA75," ",AB75," ",AC75," ",AD75," ",AE75))</f>
        <v>Club Playas de Castro Urdiales</v>
      </c>
      <c r="AG75" s="3">
        <v>9.8819444444444446E-2</v>
      </c>
      <c r="AH75" s="3"/>
      <c r="AK75" s="2">
        <v>73</v>
      </c>
      <c r="AL75" s="2" t="s">
        <v>473</v>
      </c>
      <c r="AM75" s="2" t="s">
        <v>661</v>
      </c>
      <c r="AO75" s="2">
        <v>1967</v>
      </c>
      <c r="AP75" s="2" t="s">
        <v>2</v>
      </c>
      <c r="AQ75" s="2" t="s">
        <v>108</v>
      </c>
      <c r="AR75" s="2" t="s">
        <v>109</v>
      </c>
      <c r="AY75" s="2" t="str">
        <f>TRIM(_xlfn.CONCAT(AP75," ",AQ75," ",AR75," ",AS75," ",AT75," ",AU75," ",AV75," ",AW75," ",AX75))</f>
        <v>Club A.C.N. Marisma</v>
      </c>
      <c r="AZ75" s="3">
        <v>5.9097222222222225E-2</v>
      </c>
      <c r="BA75" s="3"/>
      <c r="BB75" s="2">
        <v>16</v>
      </c>
      <c r="BD75" s="2">
        <v>3</v>
      </c>
      <c r="BE75" s="2" t="s">
        <v>799</v>
      </c>
      <c r="BF75" s="2" t="s">
        <v>186</v>
      </c>
      <c r="BG75" s="2" t="s">
        <v>800</v>
      </c>
      <c r="BH75" s="2">
        <v>1972</v>
      </c>
      <c r="BI75" s="2" t="s">
        <v>2</v>
      </c>
      <c r="BJ75" s="2" t="s">
        <v>210</v>
      </c>
      <c r="BR75" s="2" t="str">
        <f>TRIM(_xlfn.CONCAT(BI75," ",BJ75," ",BK75," ",BL75," ",BM75," ",BN75," ",BO75," ",BP75," ",BQ75))</f>
        <v>Club Leucante</v>
      </c>
      <c r="BS75" s="3">
        <v>0.1064699074074074</v>
      </c>
      <c r="BT75" s="3"/>
      <c r="BU75" s="2">
        <v>16</v>
      </c>
    </row>
    <row r="76" spans="1:73" x14ac:dyDescent="0.6">
      <c r="A76" s="2">
        <v>72</v>
      </c>
      <c r="B76" s="2" t="s">
        <v>228</v>
      </c>
      <c r="C76" s="2" t="s">
        <v>229</v>
      </c>
      <c r="D76" s="2" t="s">
        <v>112</v>
      </c>
      <c r="E76" s="2">
        <v>2009</v>
      </c>
      <c r="F76" s="2" t="s">
        <v>2</v>
      </c>
      <c r="G76" s="2" t="s">
        <v>9</v>
      </c>
      <c r="H76" s="2" t="s">
        <v>230</v>
      </c>
      <c r="I76" s="2" t="s">
        <v>231</v>
      </c>
      <c r="J76" s="2" t="s">
        <v>162</v>
      </c>
      <c r="M76" s="2" t="str">
        <f>TRIM(_xlfn.CONCAT(F76," ",G76," ",H76," ",I76," ",J76," ",K76," ",L76))</f>
        <v>Club Salvamento Rhinos Ciudad Real</v>
      </c>
      <c r="N76" s="3">
        <v>0.11493055555555555</v>
      </c>
      <c r="O76" s="3"/>
      <c r="R76" s="2">
        <v>73</v>
      </c>
      <c r="S76" s="2" t="s">
        <v>473</v>
      </c>
      <c r="T76" s="2" t="s">
        <v>134</v>
      </c>
      <c r="U76" s="2" t="s">
        <v>421</v>
      </c>
      <c r="V76" s="2">
        <v>2010</v>
      </c>
      <c r="W76" s="2" t="s">
        <v>2</v>
      </c>
      <c r="X76" s="2" t="s">
        <v>22</v>
      </c>
      <c r="Y76" s="2" t="s">
        <v>104</v>
      </c>
      <c r="Z76" s="2" t="s">
        <v>105</v>
      </c>
      <c r="AF76" s="2" t="str">
        <f>TRIM(_xlfn.CONCAT(W76," ",X76," ",Y76," ",Z76," ",AA76," ",AB76," ",AC76," ",AD76," ",AE76))</f>
        <v>Club Natació Reus Ploms</v>
      </c>
      <c r="AG76" s="3">
        <v>9.8819444444444446E-2</v>
      </c>
      <c r="AH76" s="3"/>
      <c r="AK76" s="2">
        <v>74</v>
      </c>
      <c r="AL76" s="2" t="s">
        <v>474</v>
      </c>
      <c r="AM76" s="2" t="s">
        <v>662</v>
      </c>
      <c r="AN76" s="2" t="s">
        <v>648</v>
      </c>
      <c r="AO76" s="2">
        <v>1967</v>
      </c>
      <c r="AP76" s="2" t="s">
        <v>62</v>
      </c>
      <c r="AQ76" s="2" t="s">
        <v>63</v>
      </c>
      <c r="AR76" s="2" t="s">
        <v>9</v>
      </c>
      <c r="AS76" s="2" t="s">
        <v>27</v>
      </c>
      <c r="AT76" s="2" t="s">
        <v>28</v>
      </c>
      <c r="AY76" s="2" t="str">
        <f>TRIM(_xlfn.CONCAT(AP76," ",AQ76," ",AR76," ",AS76," ",AT76," ",AU76," ",AV76," ",AW76," ",AX76))</f>
        <v>Alcarreño de Salvamento y Socorrismo</v>
      </c>
      <c r="AZ76" s="3">
        <v>6.822916666666666E-2</v>
      </c>
      <c r="BA76" s="3"/>
      <c r="BB76" s="2">
        <v>14</v>
      </c>
      <c r="BD76" s="2">
        <v>4</v>
      </c>
      <c r="BE76" s="2" t="s">
        <v>750</v>
      </c>
      <c r="BF76" s="2" t="s">
        <v>468</v>
      </c>
      <c r="BG76" s="2" t="s">
        <v>534</v>
      </c>
      <c r="BH76" s="2">
        <v>1973</v>
      </c>
      <c r="BI76" s="2" t="s">
        <v>41</v>
      </c>
      <c r="BJ76" s="2" t="s">
        <v>42</v>
      </c>
      <c r="BK76" s="2" t="s">
        <v>9</v>
      </c>
      <c r="BL76" s="2" t="s">
        <v>157</v>
      </c>
      <c r="BR76" s="2" t="str">
        <f>TRIM(_xlfn.CONCAT(BI76," ",BJ76," ",BK76," ",BL76," ",BM76," ",BN76," ",BO76," ",BP76," ",BQ76))</f>
        <v>C. D. Salvamento Dragones</v>
      </c>
      <c r="BS76" s="3">
        <v>0.10931712962962963</v>
      </c>
      <c r="BT76" s="3"/>
      <c r="BU76" s="2">
        <v>14</v>
      </c>
    </row>
    <row r="77" spans="1:73" x14ac:dyDescent="0.6">
      <c r="A77" s="2">
        <v>73</v>
      </c>
      <c r="B77" s="2" t="s">
        <v>232</v>
      </c>
      <c r="C77" s="2" t="s">
        <v>233</v>
      </c>
      <c r="D77" s="2" t="s">
        <v>234</v>
      </c>
      <c r="E77" s="2">
        <v>2011</v>
      </c>
      <c r="F77" s="2" t="s">
        <v>2</v>
      </c>
      <c r="G77" s="2" t="s">
        <v>93</v>
      </c>
      <c r="H77" s="2" t="s">
        <v>63</v>
      </c>
      <c r="I77" s="2" t="s">
        <v>167</v>
      </c>
      <c r="J77" s="2" t="s">
        <v>168</v>
      </c>
      <c r="M77" s="2" t="str">
        <f>TRIM(_xlfn.CONCAT(F77," ",G77," ",H77," ",I77," ",J77," ",K77," ",L77))</f>
        <v>Club Playas de Castro Urdiales</v>
      </c>
      <c r="N77" s="3">
        <v>0.1152662037037037</v>
      </c>
      <c r="O77" s="3"/>
      <c r="R77" s="2">
        <v>74</v>
      </c>
      <c r="S77" s="2" t="s">
        <v>474</v>
      </c>
      <c r="T77" s="2" t="s">
        <v>348</v>
      </c>
      <c r="U77" s="2" t="s">
        <v>463</v>
      </c>
      <c r="V77" s="2">
        <v>2010</v>
      </c>
      <c r="W77" s="2" t="s">
        <v>2</v>
      </c>
      <c r="X77" s="2" t="s">
        <v>3</v>
      </c>
      <c r="Y77" s="2" t="s">
        <v>4</v>
      </c>
      <c r="Z77" s="2" t="s">
        <v>5</v>
      </c>
      <c r="AF77" s="2" t="str">
        <f>TRIM(_xlfn.CONCAT(W77," ",X77," ",Y77," ",Z77," ",AA77," ",AB77," ",AC77," ",AD77," ",AE77))</f>
        <v>Club Deportivo Natación Aldaia</v>
      </c>
      <c r="AG77" s="3">
        <v>9.8842592592592593E-2</v>
      </c>
      <c r="AH77" s="3"/>
      <c r="AK77" s="2">
        <v>75</v>
      </c>
      <c r="AL77" s="2" t="s">
        <v>475</v>
      </c>
      <c r="AM77" s="2" t="s">
        <v>141</v>
      </c>
      <c r="AN77" s="2" t="s">
        <v>707</v>
      </c>
      <c r="AO77" s="2">
        <v>1969</v>
      </c>
      <c r="AP77" s="2" t="s">
        <v>466</v>
      </c>
      <c r="AQ77" s="2" t="s">
        <v>467</v>
      </c>
      <c r="AR77" s="2" t="s">
        <v>34</v>
      </c>
      <c r="AY77" s="2" t="str">
        <f>TRIM(_xlfn.CONCAT(AP77," ",AQ77," ",AR77," ",AS77," ",AT77," ",AU77," ",AV77," ",AW77," ",AX77))</f>
        <v>C.D.B. Vallecas S.O.S</v>
      </c>
      <c r="AZ77" s="3">
        <v>7.2488425925925928E-2</v>
      </c>
      <c r="BA77" s="3"/>
      <c r="BB77" s="2">
        <v>13</v>
      </c>
      <c r="BD77" s="2">
        <v>5</v>
      </c>
      <c r="BE77" s="2" t="s">
        <v>801</v>
      </c>
      <c r="BF77" s="2" t="s">
        <v>802</v>
      </c>
      <c r="BG77" s="2" t="s">
        <v>463</v>
      </c>
      <c r="BH77" s="2">
        <v>1975</v>
      </c>
      <c r="BI77" s="2" t="s">
        <v>2</v>
      </c>
      <c r="BJ77" s="2" t="s">
        <v>4</v>
      </c>
      <c r="BK77" s="2" t="s">
        <v>43</v>
      </c>
      <c r="BL77" s="2" t="s">
        <v>153</v>
      </c>
      <c r="BR77" s="2" t="str">
        <f>TRIM(_xlfn.CONCAT(BI77," ",BJ77," ",BK77," ",BL77," ",BM77," ",BN77," ",BO77," ",BP77," ",BQ77))</f>
        <v>Club Natación SOS Bétera</v>
      </c>
      <c r="BS77" s="3">
        <v>0.11125</v>
      </c>
      <c r="BT77" s="3"/>
      <c r="BU77" s="2">
        <v>13</v>
      </c>
    </row>
    <row r="78" spans="1:73" x14ac:dyDescent="0.6">
      <c r="A78" s="2">
        <v>74</v>
      </c>
      <c r="B78" s="2" t="s">
        <v>186</v>
      </c>
      <c r="C78" s="2" t="s">
        <v>235</v>
      </c>
      <c r="D78" s="2" t="s">
        <v>236</v>
      </c>
      <c r="E78" s="2">
        <v>2008</v>
      </c>
      <c r="F78" s="2" t="s">
        <v>2</v>
      </c>
      <c r="G78" s="2" t="s">
        <v>3</v>
      </c>
      <c r="H78" s="2" t="s">
        <v>237</v>
      </c>
      <c r="I78" s="2" t="s">
        <v>238</v>
      </c>
      <c r="J78" s="2" t="s">
        <v>239</v>
      </c>
      <c r="M78" s="2" t="str">
        <f>TRIM(_xlfn.CONCAT(F78," ",G78," ",H78," ",I78," ",J78," ",K78," ",L78))</f>
        <v>Club Deportivo Unión Esgueva SOSVA</v>
      </c>
      <c r="N78" s="3">
        <v>0.11534722222222223</v>
      </c>
      <c r="O78" s="3"/>
      <c r="R78" s="2">
        <v>75</v>
      </c>
      <c r="S78" s="2" t="s">
        <v>475</v>
      </c>
      <c r="T78" s="2" t="s">
        <v>476</v>
      </c>
      <c r="U78" s="2" t="s">
        <v>366</v>
      </c>
      <c r="V78" s="2">
        <v>2008</v>
      </c>
      <c r="W78" s="2" t="s">
        <v>2</v>
      </c>
      <c r="X78" s="2" t="s">
        <v>9</v>
      </c>
      <c r="Y78" s="2" t="s">
        <v>27</v>
      </c>
      <c r="Z78" s="2" t="s">
        <v>28</v>
      </c>
      <c r="AA78" s="2" t="s">
        <v>29</v>
      </c>
      <c r="AF78" s="2" t="str">
        <f>TRIM(_xlfn.CONCAT(W78," ",X78," ",Y78," ",Z78," ",AA78," ",AB78," ",AC78," ",AD78," ",AE78))</f>
        <v>Club Salvamento y Socorrismo Benavente</v>
      </c>
      <c r="AG78" s="3">
        <v>9.9097222222222225E-2</v>
      </c>
      <c r="AH78" s="3"/>
      <c r="AK78" s="2">
        <v>76</v>
      </c>
      <c r="AL78" s="2" t="s">
        <v>71</v>
      </c>
      <c r="AM78" s="2" t="s">
        <v>351</v>
      </c>
      <c r="AN78" s="2" t="s">
        <v>708</v>
      </c>
      <c r="AO78" s="2">
        <v>1970</v>
      </c>
      <c r="AP78" s="2" t="s">
        <v>171</v>
      </c>
      <c r="AQ78" s="2" t="s">
        <v>172</v>
      </c>
      <c r="AR78" s="2" t="s">
        <v>9</v>
      </c>
      <c r="AY78" s="2" t="str">
        <f>TRIM(_xlfn.CONCAT(AP78," ",AQ78," ",AR78," ",AS78," ",AT78," ",AU78," ",AV78," ",AW78," ",AX78))</f>
        <v>C.D.E Pacífico Salvamento</v>
      </c>
      <c r="AZ78" s="3">
        <v>7.2754629629629627E-2</v>
      </c>
      <c r="BA78" s="3"/>
      <c r="BB78" s="2">
        <v>12</v>
      </c>
      <c r="BD78" s="2">
        <v>6</v>
      </c>
      <c r="BE78" s="2" t="s">
        <v>279</v>
      </c>
      <c r="BF78" s="2" t="s">
        <v>660</v>
      </c>
      <c r="BG78" s="2" t="s">
        <v>884</v>
      </c>
      <c r="BH78" s="2">
        <v>1975</v>
      </c>
      <c r="BI78" s="2" t="s">
        <v>62</v>
      </c>
      <c r="BJ78" s="2" t="s">
        <v>63</v>
      </c>
      <c r="BK78" s="2" t="s">
        <v>9</v>
      </c>
      <c r="BL78" s="2" t="s">
        <v>27</v>
      </c>
      <c r="BM78" s="2" t="s">
        <v>28</v>
      </c>
      <c r="BR78" s="2" t="str">
        <f>TRIM(_xlfn.CONCAT(BI78," ",BJ78," ",BK78," ",BL78," ",BM78," ",BN78," ",BO78," ",BP78," ",BQ78))</f>
        <v>Alcarreño de Salvamento y Socorrismo</v>
      </c>
      <c r="BS78" s="3">
        <v>0.11194444444444444</v>
      </c>
      <c r="BT78" s="3"/>
      <c r="BU78" s="2">
        <v>12</v>
      </c>
    </row>
    <row r="79" spans="1:73" x14ac:dyDescent="0.6">
      <c r="A79" s="2">
        <v>75</v>
      </c>
      <c r="B79" s="2" t="s">
        <v>240</v>
      </c>
      <c r="C79" s="2" t="s">
        <v>31</v>
      </c>
      <c r="D79" s="2" t="s">
        <v>241</v>
      </c>
      <c r="E79" s="2">
        <v>2008</v>
      </c>
      <c r="F79" s="2" t="s">
        <v>2</v>
      </c>
      <c r="G79" s="2" t="s">
        <v>242</v>
      </c>
      <c r="H79" s="2" t="s">
        <v>243</v>
      </c>
      <c r="M79" s="2" t="str">
        <f>TRIM(_xlfn.CONCAT(F79," ",G79," ",H79," ",I79," ",J79," ",K79," ",L79))</f>
        <v>Club Acuático Umia</v>
      </c>
      <c r="N79" s="3">
        <v>0.11666666666666667</v>
      </c>
      <c r="O79" s="3"/>
      <c r="R79" s="2">
        <v>76</v>
      </c>
      <c r="S79" s="2" t="s">
        <v>71</v>
      </c>
      <c r="T79" s="2" t="s">
        <v>558</v>
      </c>
      <c r="U79" s="2" t="s">
        <v>159</v>
      </c>
      <c r="V79" s="2">
        <v>2006</v>
      </c>
      <c r="W79" s="2" t="s">
        <v>2</v>
      </c>
      <c r="X79" s="2" t="s">
        <v>3</v>
      </c>
      <c r="Y79" s="2" t="s">
        <v>197</v>
      </c>
      <c r="Z79" s="2" t="s">
        <v>198</v>
      </c>
      <c r="AF79" s="2" t="str">
        <f>TRIM(_xlfn.CONCAT(W79," ",X79," ",Y79," ",Z79," ",AA79," ",AB79," ",AC79," ",AD79," ",AE79))</f>
        <v>Club Deportivo Talasa Torremolinos</v>
      </c>
      <c r="AG79" s="3">
        <v>9.9537037037037035E-2</v>
      </c>
      <c r="AH79" s="3"/>
      <c r="AK79" s="2">
        <v>77</v>
      </c>
      <c r="AL79" s="2" t="s">
        <v>31</v>
      </c>
      <c r="AM79" s="2" t="s">
        <v>663</v>
      </c>
      <c r="AN79" s="2" t="s">
        <v>241</v>
      </c>
      <c r="AO79" s="2">
        <v>1966</v>
      </c>
      <c r="AP79" s="2" t="s">
        <v>572</v>
      </c>
      <c r="AQ79" s="2" t="s">
        <v>573</v>
      </c>
      <c r="AR79" s="2" t="s">
        <v>574</v>
      </c>
      <c r="AS79" s="2" t="s">
        <v>575</v>
      </c>
      <c r="AY79" s="2" t="str">
        <f>TRIM(_xlfn.CONCAT(AP79," ",AQ79," ",AR79," ",AS79," ",AT79," ",AU79," ",AV79," ",AW79," ",AX79))</f>
        <v>Loredo Surf Life Saving</v>
      </c>
      <c r="AZ79" s="3">
        <v>7.3958333333333334E-2</v>
      </c>
      <c r="BA79" s="3"/>
      <c r="BB79" s="2">
        <v>11</v>
      </c>
      <c r="BD79" s="2">
        <v>7</v>
      </c>
      <c r="BE79" s="2" t="s">
        <v>803</v>
      </c>
      <c r="BF79" s="2" t="s">
        <v>804</v>
      </c>
      <c r="BG79" s="2" t="s">
        <v>885</v>
      </c>
      <c r="BH79" s="2">
        <v>1975</v>
      </c>
      <c r="BI79" s="2" t="s">
        <v>466</v>
      </c>
      <c r="BJ79" s="2" t="s">
        <v>467</v>
      </c>
      <c r="BK79" s="2" t="s">
        <v>34</v>
      </c>
      <c r="BR79" s="2" t="str">
        <f>TRIM(_xlfn.CONCAT(BI79," ",BJ79," ",BK79," ",BL79," ",BM79," ",BN79," ",BO79," ",BP79," ",BQ79))</f>
        <v>C.D.B. Vallecas S.O.S</v>
      </c>
      <c r="BS79" s="3">
        <v>0.1144212962962963</v>
      </c>
      <c r="BT79" s="3"/>
      <c r="BU79" s="2">
        <v>11</v>
      </c>
    </row>
    <row r="80" spans="1:73" x14ac:dyDescent="0.6">
      <c r="A80" s="2">
        <v>76</v>
      </c>
      <c r="B80" s="2" t="s">
        <v>244</v>
      </c>
      <c r="C80" s="2" t="s">
        <v>245</v>
      </c>
      <c r="D80" s="2" t="s">
        <v>246</v>
      </c>
      <c r="E80" s="2">
        <v>2009</v>
      </c>
      <c r="F80" s="2" t="s">
        <v>2</v>
      </c>
      <c r="G80" s="2" t="s">
        <v>9</v>
      </c>
      <c r="H80" s="2" t="s">
        <v>27</v>
      </c>
      <c r="I80" s="2" t="s">
        <v>28</v>
      </c>
      <c r="J80" s="2" t="s">
        <v>29</v>
      </c>
      <c r="M80" s="2" t="str">
        <f>TRIM(_xlfn.CONCAT(F80," ",G80," ",H80," ",I80," ",J80," ",K80," ",L80))</f>
        <v>Club Salvamento y Socorrismo Benavente</v>
      </c>
      <c r="N80" s="3">
        <v>0.11729166666666667</v>
      </c>
      <c r="O80" s="3"/>
      <c r="R80" s="2">
        <v>77</v>
      </c>
      <c r="S80" s="2" t="s">
        <v>31</v>
      </c>
      <c r="T80" s="2" t="s">
        <v>57</v>
      </c>
      <c r="U80" s="2" t="s">
        <v>352</v>
      </c>
      <c r="V80" s="2">
        <v>2009</v>
      </c>
      <c r="W80" s="2" t="s">
        <v>62</v>
      </c>
      <c r="X80" s="2" t="s">
        <v>63</v>
      </c>
      <c r="Y80" s="2" t="s">
        <v>9</v>
      </c>
      <c r="Z80" s="2" t="s">
        <v>27</v>
      </c>
      <c r="AA80" s="2" t="s">
        <v>28</v>
      </c>
      <c r="AF80" s="2" t="str">
        <f>TRIM(_xlfn.CONCAT(W80," ",X80," ",Y80," ",Z80," ",AA80," ",AB80," ",AC80," ",AD80," ",AE80))</f>
        <v>Alcarreño de Salvamento y Socorrismo</v>
      </c>
      <c r="AG80" s="3">
        <v>9.9583333333333329E-2</v>
      </c>
      <c r="AH80" s="3"/>
      <c r="AK80" s="2">
        <v>78</v>
      </c>
      <c r="AL80" s="2" t="s">
        <v>141</v>
      </c>
      <c r="AM80" s="2" t="s">
        <v>664</v>
      </c>
      <c r="AN80" s="2" t="s">
        <v>709</v>
      </c>
      <c r="AO80" s="2">
        <v>1970</v>
      </c>
      <c r="AP80" s="2" t="s">
        <v>2</v>
      </c>
      <c r="AQ80" s="2" t="s">
        <v>4</v>
      </c>
      <c r="AR80" s="2" t="s">
        <v>665</v>
      </c>
      <c r="AS80" s="2" t="s">
        <v>666</v>
      </c>
      <c r="AY80" s="2" t="str">
        <f>TRIM(_xlfn.CONCAT(AP80," ",AQ80," ",AR80," ",AS80," ",AT80," ",AU80," ",AV80," ",AW80," ",AX80))</f>
        <v>Club Natación San Vicente</v>
      </c>
      <c r="AZ80" s="3">
        <v>7.4756944444444445E-2</v>
      </c>
      <c r="BA80" s="3"/>
      <c r="BB80" s="2">
        <v>10</v>
      </c>
      <c r="BD80" s="2">
        <v>8</v>
      </c>
      <c r="BE80" s="2" t="s">
        <v>805</v>
      </c>
      <c r="BF80" s="2" t="s">
        <v>806</v>
      </c>
      <c r="BG80" s="2" t="s">
        <v>886</v>
      </c>
      <c r="BH80" s="2">
        <v>1973</v>
      </c>
      <c r="BI80" s="2" t="s">
        <v>466</v>
      </c>
      <c r="BJ80" s="2" t="s">
        <v>467</v>
      </c>
      <c r="BK80" s="2" t="s">
        <v>34</v>
      </c>
      <c r="BR80" s="2" t="str">
        <f>TRIM(_xlfn.CONCAT(BI80," ",BJ80," ",BK80," ",BL80," ",BM80," ",BN80," ",BO80," ",BP80," ",BQ80))</f>
        <v>C.D.B. Vallecas S.O.S</v>
      </c>
      <c r="BS80" s="3">
        <v>0.1149537037037037</v>
      </c>
      <c r="BT80" s="3"/>
      <c r="BU80" s="2">
        <v>10</v>
      </c>
    </row>
    <row r="81" spans="1:73" x14ac:dyDescent="0.6">
      <c r="A81" s="2">
        <v>77</v>
      </c>
      <c r="B81" s="2" t="s">
        <v>247</v>
      </c>
      <c r="C81" s="2" t="s">
        <v>248</v>
      </c>
      <c r="D81" s="2" t="s">
        <v>249</v>
      </c>
      <c r="E81" s="2">
        <v>2003</v>
      </c>
      <c r="F81" s="2" t="s">
        <v>2</v>
      </c>
      <c r="G81" s="2" t="s">
        <v>88</v>
      </c>
      <c r="H81" s="2" t="s">
        <v>43</v>
      </c>
      <c r="M81" s="2" t="str">
        <f>TRIM(_xlfn.CONCAT(F81," ",G81," ",H81," ",I81," ",J81," ",K81," ",L81))</f>
        <v>Club Laguna SOS</v>
      </c>
      <c r="N81" s="3">
        <v>0.11844907407407407</v>
      </c>
      <c r="O81" s="3"/>
      <c r="R81" s="2">
        <v>78</v>
      </c>
      <c r="S81" s="2" t="s">
        <v>141</v>
      </c>
      <c r="T81" s="2" t="s">
        <v>477</v>
      </c>
      <c r="U81" s="2" t="s">
        <v>478</v>
      </c>
      <c r="V81" s="2">
        <v>2008</v>
      </c>
      <c r="W81" s="2" t="s">
        <v>62</v>
      </c>
      <c r="X81" s="2" t="s">
        <v>63</v>
      </c>
      <c r="Y81" s="2" t="s">
        <v>9</v>
      </c>
      <c r="Z81" s="2" t="s">
        <v>27</v>
      </c>
      <c r="AA81" s="2" t="s">
        <v>28</v>
      </c>
      <c r="AF81" s="2" t="str">
        <f>TRIM(_xlfn.CONCAT(W81," ",X81," ",Y81," ",Z81," ",AA81," ",AB81," ",AC81," ",AD81," ",AE81))</f>
        <v>Alcarreño de Salvamento y Socorrismo</v>
      </c>
      <c r="AG81" s="3">
        <v>9.9363425925925924E-2</v>
      </c>
      <c r="AH81" s="3"/>
      <c r="AK81" s="2">
        <v>79</v>
      </c>
      <c r="AL81" s="2" t="s">
        <v>479</v>
      </c>
      <c r="AM81" s="2" t="s">
        <v>667</v>
      </c>
      <c r="AN81" s="2" t="s">
        <v>668</v>
      </c>
      <c r="AO81" s="2">
        <v>1968</v>
      </c>
      <c r="AP81" s="2" t="s">
        <v>4</v>
      </c>
      <c r="AQ81" s="2" t="s">
        <v>635</v>
      </c>
      <c r="AY81" s="2" t="str">
        <f>TRIM(_xlfn.CONCAT(AP81," ",AQ81," ",AR81," ",AS81," ",AT81," ",AU81," ",AV81," ",AW81," ",AX81))</f>
        <v>Natación RACE</v>
      </c>
      <c r="AZ81" s="3">
        <v>7.604166666666666E-2</v>
      </c>
      <c r="BA81" s="3"/>
      <c r="BB81" s="2">
        <v>8</v>
      </c>
      <c r="BD81" s="2">
        <v>9</v>
      </c>
      <c r="BE81" s="2" t="s">
        <v>807</v>
      </c>
      <c r="BF81" s="2" t="s">
        <v>31</v>
      </c>
      <c r="BG81" s="2" t="s">
        <v>321</v>
      </c>
      <c r="BH81" s="2">
        <v>1975</v>
      </c>
      <c r="BI81" s="2" t="s">
        <v>2</v>
      </c>
      <c r="BJ81" s="2" t="s">
        <v>242</v>
      </c>
      <c r="BK81" s="2" t="s">
        <v>243</v>
      </c>
      <c r="BR81" s="2" t="str">
        <f>TRIM(_xlfn.CONCAT(BI81," ",BJ81," ",BK81," ",BL81," ",BM81," ",BN81," ",BO81," ",BP81," ",BQ81))</f>
        <v>Club Acuático Umia</v>
      </c>
      <c r="BS81" s="3">
        <v>0.11725694444444444</v>
      </c>
      <c r="BT81" s="3"/>
      <c r="BU81" s="2">
        <v>8</v>
      </c>
    </row>
    <row r="82" spans="1:73" x14ac:dyDescent="0.6">
      <c r="A82" s="2">
        <v>78</v>
      </c>
      <c r="B82" s="2" t="s">
        <v>59</v>
      </c>
      <c r="C82" s="2" t="s">
        <v>250</v>
      </c>
      <c r="D82" s="2" t="s">
        <v>251</v>
      </c>
      <c r="E82" s="2">
        <v>2007</v>
      </c>
      <c r="F82" s="2" t="s">
        <v>2</v>
      </c>
      <c r="G82" s="2" t="s">
        <v>4</v>
      </c>
      <c r="H82" s="2" t="s">
        <v>252</v>
      </c>
      <c r="I82" s="2" t="s">
        <v>253</v>
      </c>
      <c r="J82" s="2" t="s">
        <v>254</v>
      </c>
      <c r="K82" s="2" t="s">
        <v>255</v>
      </c>
      <c r="L82" s="2" t="s">
        <v>256</v>
      </c>
      <c r="M82" s="2" t="str">
        <f>TRIM(_xlfn.CONCAT(F82," ",G82," ",H82," ",I82," ",J82," ",K82," ",L82))</f>
        <v>Club Natación Red Mar Top Ten Alicante</v>
      </c>
      <c r="N82" s="3">
        <v>0.11891203703703704</v>
      </c>
      <c r="O82" s="3"/>
      <c r="R82" s="2">
        <v>79</v>
      </c>
      <c r="S82" s="2" t="s">
        <v>479</v>
      </c>
      <c r="T82" s="2" t="s">
        <v>480</v>
      </c>
      <c r="U82" s="2" t="s">
        <v>481</v>
      </c>
      <c r="V82" s="2">
        <v>2007</v>
      </c>
      <c r="W82" s="2" t="s">
        <v>62</v>
      </c>
      <c r="X82" s="2" t="s">
        <v>63</v>
      </c>
      <c r="Y82" s="2" t="s">
        <v>9</v>
      </c>
      <c r="Z82" s="2" t="s">
        <v>27</v>
      </c>
      <c r="AA82" s="2" t="s">
        <v>28</v>
      </c>
      <c r="AF82" s="2" t="str">
        <f>TRIM(_xlfn.CONCAT(W82," ",X82," ",Y82," ",Z82," ",AA82," ",AB82," ",AC82," ",AD82," ",AE82))</f>
        <v>Alcarreño de Salvamento y Socorrismo</v>
      </c>
      <c r="AG82" s="3">
        <v>9.9409722222222219E-2</v>
      </c>
      <c r="AH82" s="3"/>
      <c r="AK82" s="2">
        <v>80</v>
      </c>
      <c r="AL82" s="2" t="s">
        <v>482</v>
      </c>
      <c r="AM82" s="2" t="s">
        <v>669</v>
      </c>
      <c r="AN82" s="2" t="s">
        <v>241</v>
      </c>
      <c r="AO82" s="2">
        <v>1966</v>
      </c>
      <c r="AP82" s="2" t="s">
        <v>2</v>
      </c>
      <c r="AQ82" s="2" t="s">
        <v>9</v>
      </c>
      <c r="AR82" s="2" t="s">
        <v>633</v>
      </c>
      <c r="AS82" s="2" t="s">
        <v>11</v>
      </c>
      <c r="AT82" s="2" t="s">
        <v>634</v>
      </c>
      <c r="AY82" s="2" t="str">
        <f>TRIM(_xlfn.CONCAT(AP82," ",AQ82," ",AR82," ",AS82," ",AT82," ",AU82," ",AV82," ",AW82," ",AX82))</f>
        <v>Club Salvamento Sada - SASA</v>
      </c>
      <c r="AZ82" s="3">
        <v>7.7453703703703705E-2</v>
      </c>
      <c r="BA82" s="3"/>
      <c r="BB82" s="2">
        <v>7</v>
      </c>
      <c r="BD82" s="2">
        <v>10</v>
      </c>
      <c r="BE82" s="2" t="s">
        <v>149</v>
      </c>
      <c r="BF82" s="2" t="s">
        <v>808</v>
      </c>
      <c r="BG82" s="2" t="s">
        <v>321</v>
      </c>
      <c r="BH82" s="2">
        <v>1971</v>
      </c>
      <c r="BI82" s="2" t="s">
        <v>572</v>
      </c>
      <c r="BJ82" s="2" t="s">
        <v>573</v>
      </c>
      <c r="BK82" s="2" t="s">
        <v>574</v>
      </c>
      <c r="BL82" s="2" t="s">
        <v>575</v>
      </c>
      <c r="BR82" s="2" t="str">
        <f>TRIM(_xlfn.CONCAT(BI82," ",BJ82," ",BK82," ",BL82," ",BM82," ",BN82," ",BO82," ",BP82," ",BQ82))</f>
        <v>Loredo Surf Life Saving</v>
      </c>
      <c r="BS82" s="3">
        <v>0.12195601851851852</v>
      </c>
      <c r="BT82" s="3"/>
      <c r="BU82" s="2">
        <v>7</v>
      </c>
    </row>
    <row r="83" spans="1:73" x14ac:dyDescent="0.6">
      <c r="A83" s="2">
        <v>79</v>
      </c>
      <c r="B83" s="2" t="s">
        <v>257</v>
      </c>
      <c r="C83" s="2" t="s">
        <v>258</v>
      </c>
      <c r="D83" s="2" t="s">
        <v>207</v>
      </c>
      <c r="E83" s="2">
        <v>2006</v>
      </c>
      <c r="F83" s="2" t="s">
        <v>2</v>
      </c>
      <c r="G83" s="2" t="s">
        <v>3</v>
      </c>
      <c r="H83" s="2" t="s">
        <v>197</v>
      </c>
      <c r="I83" s="2" t="s">
        <v>198</v>
      </c>
      <c r="M83" s="2" t="str">
        <f>TRIM(_xlfn.CONCAT(F83," ",G83," ",H83," ",I83," ",J83," ",K83," ",L83))</f>
        <v>Club Deportivo Talasa Torremolinos</v>
      </c>
      <c r="N83" s="3">
        <v>0.12002314814814814</v>
      </c>
      <c r="O83" s="3"/>
      <c r="R83" s="2">
        <v>80</v>
      </c>
      <c r="S83" s="2" t="s">
        <v>482</v>
      </c>
      <c r="T83" s="2" t="s">
        <v>483</v>
      </c>
      <c r="U83" s="2" t="s">
        <v>484</v>
      </c>
      <c r="V83" s="2">
        <v>2009</v>
      </c>
      <c r="W83" s="2" t="s">
        <v>2</v>
      </c>
      <c r="X83" s="2" t="s">
        <v>9</v>
      </c>
      <c r="Y83" s="2" t="s">
        <v>27</v>
      </c>
      <c r="Z83" s="2" t="s">
        <v>4</v>
      </c>
      <c r="AA83" s="2" t="s">
        <v>51</v>
      </c>
      <c r="AF83" s="2" t="str">
        <f>TRIM(_xlfn.CONCAT(W83," ",X83," ",Y83," ",Z83," ",AA83," ",AB83," ",AC83," ",AD83," ",AE83))</f>
        <v>Club Salvamento y Natación Silla</v>
      </c>
      <c r="AG83" s="3">
        <v>9.9699074074074079E-2</v>
      </c>
      <c r="AH83" s="3"/>
      <c r="AK83" s="2">
        <v>81</v>
      </c>
      <c r="AL83" s="2" t="s">
        <v>414</v>
      </c>
      <c r="AM83" s="2" t="s">
        <v>670</v>
      </c>
      <c r="AN83" s="2" t="s">
        <v>184</v>
      </c>
      <c r="AO83" s="2">
        <v>1966</v>
      </c>
      <c r="AP83" s="2" t="s">
        <v>4</v>
      </c>
      <c r="AQ83" s="2" t="s">
        <v>635</v>
      </c>
      <c r="AY83" s="2" t="str">
        <f>TRIM(_xlfn.CONCAT(AP83," ",AQ83," ",AR83," ",AS83," ",AT83," ",AU83," ",AV83," ",AW83," ",AX83))</f>
        <v>Natación RACE</v>
      </c>
      <c r="AZ83" s="3">
        <v>7.9537037037037031E-2</v>
      </c>
      <c r="BA83" s="3"/>
      <c r="BB83" s="2">
        <v>6</v>
      </c>
      <c r="BD83" s="2">
        <v>11</v>
      </c>
      <c r="BE83" s="2" t="s">
        <v>809</v>
      </c>
      <c r="BF83" s="2" t="s">
        <v>810</v>
      </c>
      <c r="BG83" s="2" t="s">
        <v>887</v>
      </c>
      <c r="BH83" s="2">
        <v>1973</v>
      </c>
      <c r="BI83" s="2" t="s">
        <v>2</v>
      </c>
      <c r="BJ83" s="2" t="s">
        <v>4</v>
      </c>
      <c r="BK83" s="2" t="s">
        <v>665</v>
      </c>
      <c r="BL83" s="2" t="s">
        <v>666</v>
      </c>
      <c r="BR83" s="2" t="str">
        <f>TRIM(_xlfn.CONCAT(BI83," ",BJ83," ",BK83," ",BL83," ",BM83," ",BN83," ",BO83," ",BP83," ",BQ83))</f>
        <v>Club Natación San Vicente</v>
      </c>
      <c r="BS83" s="3">
        <v>0.13067129629629629</v>
      </c>
      <c r="BT83" s="3"/>
      <c r="BU83" s="2">
        <v>6</v>
      </c>
    </row>
    <row r="84" spans="1:73" x14ac:dyDescent="0.6">
      <c r="A84" s="2">
        <v>80</v>
      </c>
      <c r="B84" s="2" t="s">
        <v>259</v>
      </c>
      <c r="C84" s="2" t="s">
        <v>73</v>
      </c>
      <c r="D84" s="2" t="s">
        <v>260</v>
      </c>
      <c r="E84" s="2">
        <v>2010</v>
      </c>
      <c r="F84" s="2" t="s">
        <v>2</v>
      </c>
      <c r="G84" s="2" t="s">
        <v>120</v>
      </c>
      <c r="H84" s="2" t="s">
        <v>121</v>
      </c>
      <c r="M84" s="2" t="str">
        <f>TRIM(_xlfn.CONCAT(F84," ",G84," ",H84," ",I84," ",J84," ",K84," ",L84))</f>
        <v>Club Multideporte Valladolid</v>
      </c>
      <c r="N84" s="3">
        <v>0.1207175925925926</v>
      </c>
      <c r="O84" s="3"/>
      <c r="R84" s="2">
        <v>81</v>
      </c>
      <c r="S84" s="2" t="s">
        <v>414</v>
      </c>
      <c r="T84" s="2" t="s">
        <v>485</v>
      </c>
      <c r="U84" s="2" t="s">
        <v>486</v>
      </c>
      <c r="V84" s="2">
        <v>2008</v>
      </c>
      <c r="W84" s="2" t="s">
        <v>79</v>
      </c>
      <c r="X84" s="2" t="s">
        <v>80</v>
      </c>
      <c r="Y84" s="2" t="s">
        <v>4</v>
      </c>
      <c r="Z84" s="2" t="s">
        <v>81</v>
      </c>
      <c r="AF84" s="2" t="str">
        <f>TRIM(_xlfn.CONCAT(W84," ",X84," ",Y84," ",Z84," ",AA84," ",AB84," ",AC84," ",AD84," ",AE84))</f>
        <v>Asociación Deportiva Natación Cáceres</v>
      </c>
      <c r="AG84" s="3">
        <v>9.993055555555555E-2</v>
      </c>
      <c r="AH84" s="3"/>
      <c r="AK84" s="2">
        <v>82</v>
      </c>
      <c r="AL84" s="2" t="s">
        <v>487</v>
      </c>
      <c r="AM84" s="2" t="s">
        <v>671</v>
      </c>
      <c r="AN84" s="2" t="s">
        <v>207</v>
      </c>
      <c r="AO84" s="2">
        <v>1970</v>
      </c>
      <c r="AP84" s="2" t="s">
        <v>2</v>
      </c>
      <c r="AQ84" s="2" t="s">
        <v>9</v>
      </c>
      <c r="AR84" s="2" t="s">
        <v>633</v>
      </c>
      <c r="AS84" s="2" t="s">
        <v>11</v>
      </c>
      <c r="AT84" s="2" t="s">
        <v>634</v>
      </c>
      <c r="AY84" s="2" t="str">
        <f>TRIM(_xlfn.CONCAT(AP84," ",AQ84," ",AR84," ",AS84," ",AT84," ",AU84," ",AV84," ",AW84," ",AX84))</f>
        <v>Club Salvamento Sada - SASA</v>
      </c>
      <c r="AZ84" s="3">
        <v>8.0358796296296303E-2</v>
      </c>
      <c r="BA84" s="3"/>
      <c r="BB84" s="2">
        <v>5</v>
      </c>
      <c r="BD84" s="2">
        <v>12</v>
      </c>
      <c r="BE84" s="2" t="s">
        <v>811</v>
      </c>
      <c r="BF84" s="2" t="s">
        <v>199</v>
      </c>
      <c r="BG84" s="2" t="s">
        <v>736</v>
      </c>
      <c r="BH84" s="2">
        <v>1972</v>
      </c>
      <c r="BI84" s="2" t="s">
        <v>596</v>
      </c>
      <c r="BJ84" s="2">
        <v>27</v>
      </c>
      <c r="BK84" s="2" t="s">
        <v>597</v>
      </c>
      <c r="BR84" s="2" t="str">
        <f>TRIM(_xlfn.CONCAT(BI84," ",BJ84," ",BK84," ",BL84," ",BM84," ",BN84," ",BO84," ",BP84," ",BQ84))</f>
        <v>C.D 27 Grados</v>
      </c>
      <c r="BS84" s="3">
        <v>0.13282407407407407</v>
      </c>
      <c r="BT84" s="3"/>
      <c r="BU84" s="2">
        <v>5</v>
      </c>
    </row>
    <row r="85" spans="1:73" x14ac:dyDescent="0.6">
      <c r="A85" s="2">
        <v>81</v>
      </c>
      <c r="B85" s="2" t="s">
        <v>261</v>
      </c>
      <c r="C85" s="2" t="s">
        <v>59</v>
      </c>
      <c r="D85" s="2" t="s">
        <v>61</v>
      </c>
      <c r="E85" s="2">
        <v>2010</v>
      </c>
      <c r="F85" s="2" t="s">
        <v>171</v>
      </c>
      <c r="G85" s="2" t="s">
        <v>172</v>
      </c>
      <c r="H85" s="2" t="s">
        <v>9</v>
      </c>
      <c r="M85" s="2" t="str">
        <f>TRIM(_xlfn.CONCAT(F85," ",G85," ",H85," ",I85," ",J85," ",K85," ",L85))</f>
        <v>C.D.E Pacífico Salvamento</v>
      </c>
      <c r="N85" s="3">
        <v>0.12111111111111111</v>
      </c>
      <c r="O85" s="3"/>
      <c r="R85" s="2">
        <v>82</v>
      </c>
      <c r="S85" s="2" t="s">
        <v>487</v>
      </c>
      <c r="T85" s="2" t="s">
        <v>488</v>
      </c>
      <c r="U85" s="2" t="s">
        <v>489</v>
      </c>
      <c r="V85" s="2">
        <v>2011</v>
      </c>
      <c r="W85" s="2" t="s">
        <v>2</v>
      </c>
      <c r="X85" s="2" t="s">
        <v>4</v>
      </c>
      <c r="Y85" s="2" t="s">
        <v>252</v>
      </c>
      <c r="Z85" s="2" t="s">
        <v>253</v>
      </c>
      <c r="AA85" s="2" t="s">
        <v>254</v>
      </c>
      <c r="AB85" s="2" t="s">
        <v>255</v>
      </c>
      <c r="AC85" s="2" t="s">
        <v>256</v>
      </c>
      <c r="AF85" s="2" t="str">
        <f>TRIM(_xlfn.CONCAT(W85," ",X85," ",Y85," ",Z85," ",AA85," ",AB85," ",AC85," ",AD85," ",AE85))</f>
        <v>Club Natación Red Mar Top Ten Alicante</v>
      </c>
      <c r="AG85" s="3">
        <v>0.10018518518518518</v>
      </c>
      <c r="AH85" s="3"/>
      <c r="AK85" s="2">
        <v>83</v>
      </c>
      <c r="AL85" s="2" t="s">
        <v>490</v>
      </c>
      <c r="AM85" s="2" t="s">
        <v>672</v>
      </c>
      <c r="AN85" s="2" t="s">
        <v>673</v>
      </c>
      <c r="AO85" s="2">
        <v>1969</v>
      </c>
      <c r="AP85" s="2" t="s">
        <v>4</v>
      </c>
      <c r="AQ85" s="2" t="s">
        <v>635</v>
      </c>
      <c r="AY85" s="2" t="str">
        <f>TRIM(_xlfn.CONCAT(AP85," ",AQ85," ",AR85," ",AS85," ",AT85," ",AU85," ",AV85," ",AW85," ",AX85))</f>
        <v>Natación RACE</v>
      </c>
      <c r="AZ85" s="3">
        <v>8.1296296296296297E-2</v>
      </c>
      <c r="BA85" s="3"/>
      <c r="BB85" s="2">
        <v>4</v>
      </c>
      <c r="BD85" s="2">
        <v>13</v>
      </c>
      <c r="BE85" s="2" t="s">
        <v>812</v>
      </c>
      <c r="BF85" s="2" t="s">
        <v>590</v>
      </c>
      <c r="BG85" s="2" t="s">
        <v>675</v>
      </c>
      <c r="BH85" s="2">
        <v>1974</v>
      </c>
      <c r="BI85" s="2" t="s">
        <v>2</v>
      </c>
      <c r="BJ85" s="2" t="s">
        <v>3</v>
      </c>
      <c r="BK85" s="2" t="s">
        <v>33</v>
      </c>
      <c r="BL85" s="2" t="s">
        <v>34</v>
      </c>
      <c r="BR85" s="2" t="str">
        <f>TRIM(_xlfn.CONCAT(BI85," ",BJ85," ",BK85," ",BL85," ",BM85," ",BN85," ",BO85," ",BP85," ",BQ85))</f>
        <v>Club Deportivo Oca S.O.S</v>
      </c>
      <c r="BS85" s="3">
        <v>0.1350925925925926</v>
      </c>
      <c r="BT85" s="3"/>
      <c r="BU85" s="2">
        <v>4</v>
      </c>
    </row>
    <row r="86" spans="1:73" x14ac:dyDescent="0.6">
      <c r="A86" s="2">
        <v>82</v>
      </c>
      <c r="B86" s="2" t="s">
        <v>205</v>
      </c>
      <c r="C86" s="2" t="s">
        <v>262</v>
      </c>
      <c r="D86" s="2" t="s">
        <v>263</v>
      </c>
      <c r="E86" s="2">
        <v>2008</v>
      </c>
      <c r="F86" s="2" t="s">
        <v>2</v>
      </c>
      <c r="G86" s="2" t="s">
        <v>4</v>
      </c>
      <c r="H86" s="2" t="s">
        <v>27</v>
      </c>
      <c r="I86" s="2" t="s">
        <v>9</v>
      </c>
      <c r="J86" s="2" t="s">
        <v>98</v>
      </c>
      <c r="K86" s="2" t="s">
        <v>99</v>
      </c>
      <c r="M86" s="2" t="str">
        <f>TRIM(_xlfn.CONCAT(F86," ",G86," ",H86," ",I86," ",J86," ",K86," ",L86))</f>
        <v>Club Natación y Salvamento Oriol Imperial</v>
      </c>
      <c r="N86" s="3" t="s">
        <v>264</v>
      </c>
      <c r="O86" s="3"/>
      <c r="R86" s="2">
        <v>83</v>
      </c>
      <c r="S86" s="2" t="s">
        <v>490</v>
      </c>
      <c r="T86" s="2" t="s">
        <v>31</v>
      </c>
      <c r="U86" s="2" t="s">
        <v>463</v>
      </c>
      <c r="V86" s="2">
        <v>2010</v>
      </c>
      <c r="W86" s="2" t="s">
        <v>2</v>
      </c>
      <c r="X86" s="2" t="s">
        <v>4</v>
      </c>
      <c r="Y86" s="2" t="s">
        <v>491</v>
      </c>
      <c r="Z86" s="2" t="s">
        <v>492</v>
      </c>
      <c r="AA86" s="2" t="s">
        <v>493</v>
      </c>
      <c r="AF86" s="2" t="str">
        <f>TRIM(_xlfn.CONCAT(W86," ",X86," ",Y86," ",Z86," ",AA86," ",AB86," ",AC86," ",AD86," ",AE86))</f>
        <v>Club Natación Santa Comba LB</v>
      </c>
      <c r="AG86" s="3">
        <v>0.10028935185185185</v>
      </c>
      <c r="AH86" s="3"/>
      <c r="AK86" s="2">
        <v>84</v>
      </c>
      <c r="AL86" s="2" t="s">
        <v>31</v>
      </c>
      <c r="AM86" s="2" t="s">
        <v>674</v>
      </c>
      <c r="AN86" s="2" t="s">
        <v>694</v>
      </c>
      <c r="AO86" s="2">
        <v>1967</v>
      </c>
      <c r="AP86" s="2" t="s">
        <v>4</v>
      </c>
      <c r="AQ86" s="2" t="s">
        <v>635</v>
      </c>
      <c r="AY86" s="2" t="str">
        <f>TRIM(_xlfn.CONCAT(AP86," ",AQ86," ",AR86," ",AS86," ",AT86," ",AU86," ",AV86," ",AW86," ",AX86))</f>
        <v>Natación RACE</v>
      </c>
      <c r="AZ86" s="3">
        <v>8.9594907407407401E-2</v>
      </c>
      <c r="BA86" s="3"/>
      <c r="BD86" s="2">
        <v>14</v>
      </c>
      <c r="BE86" s="2" t="s">
        <v>813</v>
      </c>
      <c r="BF86" s="2" t="s">
        <v>59</v>
      </c>
      <c r="BG86" s="2" t="s">
        <v>888</v>
      </c>
      <c r="BH86" s="2">
        <v>1973</v>
      </c>
      <c r="BI86" s="2" t="s">
        <v>466</v>
      </c>
      <c r="BJ86" s="2" t="s">
        <v>467</v>
      </c>
      <c r="BK86" s="2" t="s">
        <v>34</v>
      </c>
      <c r="BR86" s="2" t="str">
        <f>TRIM(_xlfn.CONCAT(BI86," ",BJ86," ",BK86," ",BL86," ",BM86," ",BN86," ",BO86," ",BP86," ",BQ86))</f>
        <v>C.D.B. Vallecas S.O.S</v>
      </c>
      <c r="BS86" s="3">
        <v>0.13841435185185186</v>
      </c>
      <c r="BT86" s="3"/>
      <c r="BU86" s="2">
        <v>3</v>
      </c>
    </row>
    <row r="87" spans="1:73" x14ac:dyDescent="0.6">
      <c r="A87" s="2">
        <v>83</v>
      </c>
      <c r="B87" s="2" t="s">
        <v>265</v>
      </c>
      <c r="C87" s="2" t="s">
        <v>141</v>
      </c>
      <c r="D87" s="2" t="s">
        <v>37</v>
      </c>
      <c r="E87" s="2">
        <v>2008</v>
      </c>
      <c r="F87" s="2" t="s">
        <v>62</v>
      </c>
      <c r="G87" s="2" t="s">
        <v>63</v>
      </c>
      <c r="H87" s="2" t="s">
        <v>9</v>
      </c>
      <c r="I87" s="2" t="s">
        <v>27</v>
      </c>
      <c r="J87" s="2" t="s">
        <v>28</v>
      </c>
      <c r="M87" s="2" t="str">
        <f>TRIM(_xlfn.CONCAT(F87," ",G87," ",H87," ",I87," ",J87," ",K87," ",L87))</f>
        <v>Alcarreño de Salvamento y Socorrismo</v>
      </c>
      <c r="N87" s="3" t="s">
        <v>264</v>
      </c>
      <c r="O87" s="3"/>
      <c r="R87" s="2">
        <v>84</v>
      </c>
      <c r="S87" s="2" t="s">
        <v>31</v>
      </c>
      <c r="T87" s="2" t="s">
        <v>270</v>
      </c>
      <c r="U87" s="2" t="s">
        <v>352</v>
      </c>
      <c r="V87" s="2">
        <v>2009</v>
      </c>
      <c r="W87" s="2" t="s">
        <v>494</v>
      </c>
      <c r="X87" s="2" t="s">
        <v>495</v>
      </c>
      <c r="Y87" s="2" t="s">
        <v>496</v>
      </c>
      <c r="AF87" s="2" t="str">
        <f>TRIM(_xlfn.CONCAT(W87," ",X87," ",Y87," ",Z87," ",AA87," ",AB87," ",AC87," ",AD87," ",AE87))</f>
        <v>PS Water Benidorm</v>
      </c>
      <c r="AG87" s="3">
        <v>0.10011574074074074</v>
      </c>
      <c r="AH87" s="3"/>
      <c r="AK87" s="2">
        <v>85</v>
      </c>
      <c r="AL87" s="2" t="s">
        <v>497</v>
      </c>
      <c r="AM87" s="2" t="s">
        <v>293</v>
      </c>
      <c r="AN87" s="2" t="s">
        <v>156</v>
      </c>
      <c r="AO87" s="2">
        <v>1966</v>
      </c>
      <c r="AP87" s="2" t="s">
        <v>171</v>
      </c>
      <c r="AQ87" s="2" t="s">
        <v>172</v>
      </c>
      <c r="AR87" s="2" t="s">
        <v>9</v>
      </c>
      <c r="AY87" s="2" t="str">
        <f>TRIM(_xlfn.CONCAT(AP87," ",AQ87," ",AR87," ",AS87," ",AT87," ",AU87," ",AV87," ",AW87," ",AX87))</f>
        <v>C.D.E Pacífico Salvamento</v>
      </c>
      <c r="AZ87" s="3">
        <v>9.0347222222222218E-2</v>
      </c>
      <c r="BA87" s="3"/>
      <c r="BB87" s="2">
        <v>2</v>
      </c>
      <c r="BD87" s="2">
        <v>15</v>
      </c>
      <c r="BE87" s="2" t="s">
        <v>270</v>
      </c>
      <c r="BF87" s="2" t="s">
        <v>31</v>
      </c>
      <c r="BG87" s="2" t="s">
        <v>889</v>
      </c>
      <c r="BH87" s="2">
        <v>1974</v>
      </c>
      <c r="BI87" s="2" t="s">
        <v>466</v>
      </c>
      <c r="BJ87" s="2" t="s">
        <v>467</v>
      </c>
      <c r="BK87" s="2" t="s">
        <v>34</v>
      </c>
      <c r="BR87" s="2" t="str">
        <f>TRIM(_xlfn.CONCAT(BI87," ",BJ87," ",BK87," ",BL87," ",BM87," ",BN87," ",BO87," ",BP87," ",BQ87))</f>
        <v>C.D.B. Vallecas S.O.S</v>
      </c>
      <c r="BS87" s="3">
        <v>0.15456018518518519</v>
      </c>
      <c r="BT87" s="3"/>
    </row>
    <row r="88" spans="1:73" x14ac:dyDescent="0.6">
      <c r="A88" s="2">
        <v>84</v>
      </c>
      <c r="B88" s="2" t="s">
        <v>266</v>
      </c>
      <c r="C88" s="2" t="s">
        <v>267</v>
      </c>
      <c r="D88" s="2" t="s">
        <v>268</v>
      </c>
      <c r="E88" s="2">
        <v>2010</v>
      </c>
      <c r="F88" s="2" t="s">
        <v>2</v>
      </c>
      <c r="G88" s="2" t="s">
        <v>22</v>
      </c>
      <c r="H88" s="2" t="s">
        <v>23</v>
      </c>
      <c r="M88" s="2" t="str">
        <f>TRIM(_xlfn.CONCAT(F88," ",G88," ",H88," ",I88," ",J88," ",K88," ",L88))</f>
        <v>Club Natació Banyoles</v>
      </c>
      <c r="N88" s="3" t="s">
        <v>264</v>
      </c>
      <c r="O88" s="3"/>
      <c r="R88" s="2">
        <v>85</v>
      </c>
      <c r="S88" s="2" t="s">
        <v>497</v>
      </c>
      <c r="T88" s="2" t="s">
        <v>498</v>
      </c>
      <c r="U88" s="2" t="s">
        <v>499</v>
      </c>
      <c r="V88" s="2">
        <v>2009</v>
      </c>
      <c r="W88" s="2" t="s">
        <v>162</v>
      </c>
      <c r="X88" s="2" t="s">
        <v>2</v>
      </c>
      <c r="Y88" s="2" t="s">
        <v>163</v>
      </c>
      <c r="Z88" s="2" t="s">
        <v>63</v>
      </c>
      <c r="AA88" s="2" t="s">
        <v>164</v>
      </c>
      <c r="AF88" s="2" t="str">
        <f>TRIM(_xlfn.CONCAT(W88," ",X88," ",Y88," ",Z88," ",AA88," ",AB88," ",AC88," ",AD88," ",AE88))</f>
        <v>Real Club Náutico de Tenerife</v>
      </c>
      <c r="AG88" s="3">
        <v>0.10013888888888889</v>
      </c>
      <c r="AH88" s="3"/>
      <c r="AK88" s="2">
        <v>86</v>
      </c>
      <c r="AL88" s="2" t="s">
        <v>183</v>
      </c>
      <c r="AM88" s="2" t="s">
        <v>676</v>
      </c>
      <c r="AN88" s="2" t="s">
        <v>695</v>
      </c>
      <c r="AO88" s="2">
        <v>1967</v>
      </c>
      <c r="AP88" s="2" t="s">
        <v>171</v>
      </c>
      <c r="AQ88" s="2" t="s">
        <v>172</v>
      </c>
      <c r="AR88" s="2" t="s">
        <v>9</v>
      </c>
      <c r="AY88" s="2" t="str">
        <f>TRIM(_xlfn.CONCAT(AP88," ",AQ88," ",AR88," ",AS88," ",AT88," ",AU88," ",AV88," ",AW88," ",AX88))</f>
        <v>C.D.E Pacífico Salvamento</v>
      </c>
      <c r="AZ88" s="3">
        <v>9.8738425925925924E-2</v>
      </c>
      <c r="BA88" s="3"/>
      <c r="BB88" s="2">
        <v>1</v>
      </c>
      <c r="BD88" s="2">
        <v>16</v>
      </c>
      <c r="BE88" s="2" t="s">
        <v>814</v>
      </c>
      <c r="BF88" s="2" t="s">
        <v>815</v>
      </c>
      <c r="BG88" s="2" t="s">
        <v>816</v>
      </c>
      <c r="BH88" s="2">
        <v>1974</v>
      </c>
      <c r="BI88" s="2" t="s">
        <v>171</v>
      </c>
      <c r="BJ88" s="2" t="s">
        <v>172</v>
      </c>
      <c r="BK88" s="2" t="s">
        <v>9</v>
      </c>
      <c r="BR88" s="2" t="str">
        <f>TRIM(_xlfn.CONCAT(BI88," ",BJ88," ",BK88," ",BL88," ",BM88," ",BN88," ",BO88," ",BP88," ",BQ88))</f>
        <v>C.D.E Pacífico Salvamento</v>
      </c>
      <c r="BS88" s="3">
        <v>0.16878472222222221</v>
      </c>
      <c r="BT88" s="3"/>
      <c r="BU88" s="2">
        <v>1</v>
      </c>
    </row>
    <row r="89" spans="1:73" x14ac:dyDescent="0.6">
      <c r="A89" s="2">
        <v>85</v>
      </c>
      <c r="B89" s="2" t="s">
        <v>269</v>
      </c>
      <c r="C89" s="2" t="s">
        <v>270</v>
      </c>
      <c r="D89" s="2" t="s">
        <v>271</v>
      </c>
      <c r="E89" s="2">
        <v>2006</v>
      </c>
      <c r="F89" s="2" t="s">
        <v>41</v>
      </c>
      <c r="G89" s="2" t="s">
        <v>42</v>
      </c>
      <c r="H89" s="2" t="s">
        <v>43</v>
      </c>
      <c r="I89" s="2" t="s">
        <v>44</v>
      </c>
      <c r="J89" s="2" t="s">
        <v>45</v>
      </c>
      <c r="M89" s="2" t="str">
        <f>TRIM(_xlfn.CONCAT(F89," ",G89," ",H89," ",I89," ",J89," ",K89," ",L89))</f>
        <v>C. D. SOS La Bañeza</v>
      </c>
      <c r="N89" s="3" t="s">
        <v>264</v>
      </c>
      <c r="O89" s="3"/>
      <c r="R89" s="2">
        <v>86</v>
      </c>
      <c r="S89" s="2" t="s">
        <v>183</v>
      </c>
      <c r="T89" s="2" t="s">
        <v>500</v>
      </c>
      <c r="U89" s="2" t="s">
        <v>363</v>
      </c>
      <c r="V89" s="2">
        <v>2009</v>
      </c>
      <c r="W89" s="2" t="s">
        <v>2</v>
      </c>
      <c r="X89" s="2" t="s">
        <v>63</v>
      </c>
      <c r="Y89" s="2" t="s">
        <v>9</v>
      </c>
      <c r="Z89" s="2" t="s">
        <v>143</v>
      </c>
      <c r="AA89" s="2" t="s">
        <v>11</v>
      </c>
      <c r="AB89" s="2" t="s">
        <v>144</v>
      </c>
      <c r="AF89" s="2" t="str">
        <f>TRIM(_xlfn.CONCAT(W89," ",X89," ",Y89," ",Z89," ",AA89," ",AB89," ",AC89," ",AD89," ",AE89))</f>
        <v>Club de Salvamento SVAT - Tarancón</v>
      </c>
      <c r="AG89" s="3">
        <v>0.10019675925925926</v>
      </c>
      <c r="AH89" s="3"/>
      <c r="AK89" s="2">
        <v>87</v>
      </c>
      <c r="AL89" s="2" t="s">
        <v>363</v>
      </c>
      <c r="AM89" s="2" t="s">
        <v>90</v>
      </c>
      <c r="AN89" s="2" t="s">
        <v>696</v>
      </c>
      <c r="AO89" s="2">
        <v>1967</v>
      </c>
      <c r="AP89" s="2" t="s">
        <v>572</v>
      </c>
      <c r="AQ89" s="2" t="s">
        <v>573</v>
      </c>
      <c r="AR89" s="2" t="s">
        <v>574</v>
      </c>
      <c r="AS89" s="2" t="s">
        <v>575</v>
      </c>
      <c r="AY89" s="2" t="str">
        <f>TRIM(_xlfn.CONCAT(AP89," ",AQ89," ",AR89," ",AS89," ",AT89," ",AU89," ",AV89," ",AW89," ",AX89))</f>
        <v>Loredo Surf Life Saving</v>
      </c>
      <c r="AZ89" s="3">
        <v>0.10052083333333334</v>
      </c>
      <c r="BA89" s="3"/>
      <c r="BD89" s="2">
        <v>17</v>
      </c>
      <c r="BE89" s="2" t="s">
        <v>6</v>
      </c>
      <c r="BF89" s="2" t="s">
        <v>141</v>
      </c>
      <c r="BG89" s="2" t="s">
        <v>318</v>
      </c>
      <c r="BH89" s="2">
        <v>1973</v>
      </c>
      <c r="BI89" s="2" t="s">
        <v>466</v>
      </c>
      <c r="BJ89" s="2" t="s">
        <v>467</v>
      </c>
      <c r="BK89" s="2" t="s">
        <v>34</v>
      </c>
      <c r="BR89" s="2" t="str">
        <f>TRIM(_xlfn.CONCAT(BI89," ",BJ89," ",BK89," ",BL89," ",BM89," ",BN89," ",BO89," ",BP89," ",BQ89))</f>
        <v>C.D.B. Vallecas S.O.S</v>
      </c>
      <c r="BS89" s="3">
        <v>0.18586805555555555</v>
      </c>
      <c r="BT89" s="3"/>
    </row>
    <row r="90" spans="1:73" x14ac:dyDescent="0.6">
      <c r="A90" s="2">
        <v>86</v>
      </c>
      <c r="B90" s="2" t="s">
        <v>272</v>
      </c>
      <c r="C90" s="2" t="s">
        <v>273</v>
      </c>
      <c r="D90" s="2" t="s">
        <v>274</v>
      </c>
      <c r="E90" s="2">
        <v>1999</v>
      </c>
      <c r="F90" s="2" t="s">
        <v>2</v>
      </c>
      <c r="G90" s="2" t="s">
        <v>9</v>
      </c>
      <c r="H90" s="2" t="s">
        <v>27</v>
      </c>
      <c r="I90" s="2" t="s">
        <v>4</v>
      </c>
      <c r="J90" s="2" t="s">
        <v>51</v>
      </c>
      <c r="M90" s="2" t="str">
        <f>TRIM(_xlfn.CONCAT(F90," ",G90," ",H90," ",I90," ",J90," ",K90," ",L90))</f>
        <v>Club Salvamento y Natación Silla</v>
      </c>
      <c r="N90" s="3" t="s">
        <v>264</v>
      </c>
      <c r="O90" s="3"/>
      <c r="R90" s="2">
        <v>87</v>
      </c>
      <c r="S90" s="2" t="s">
        <v>363</v>
      </c>
      <c r="T90" s="2" t="s">
        <v>501</v>
      </c>
      <c r="U90" s="2" t="s">
        <v>502</v>
      </c>
      <c r="V90" s="2">
        <v>2010</v>
      </c>
      <c r="W90" s="2" t="s">
        <v>2</v>
      </c>
      <c r="X90" s="2" t="s">
        <v>22</v>
      </c>
      <c r="Y90" s="2" t="s">
        <v>104</v>
      </c>
      <c r="Z90" s="2" t="s">
        <v>105</v>
      </c>
      <c r="AF90" s="2" t="str">
        <f>TRIM(_xlfn.CONCAT(W90," ",X90," ",Y90," ",Z90," ",AA90," ",AB90," ",AC90," ",AD90," ",AE90))</f>
        <v>Club Natació Reus Ploms</v>
      </c>
      <c r="AG90" s="3">
        <v>0.10056712962962963</v>
      </c>
      <c r="AH90" s="3"/>
      <c r="AK90" s="2">
        <v>88</v>
      </c>
      <c r="AL90" s="2" t="s">
        <v>503</v>
      </c>
      <c r="AM90" s="2" t="s">
        <v>318</v>
      </c>
      <c r="AN90" s="2" t="s">
        <v>694</v>
      </c>
      <c r="AO90" s="2">
        <v>1968</v>
      </c>
      <c r="AP90" s="2" t="s">
        <v>572</v>
      </c>
      <c r="AQ90" s="2" t="s">
        <v>573</v>
      </c>
      <c r="AR90" s="2" t="s">
        <v>574</v>
      </c>
      <c r="AS90" s="2" t="s">
        <v>575</v>
      </c>
      <c r="AY90" s="2" t="str">
        <f>TRIM(_xlfn.CONCAT(AP90," ",AQ90," ",AR90," ",AS90," ",AT90," ",AU90," ",AV90," ",AW90," ",AX90))</f>
        <v>Loredo Surf Life Saving</v>
      </c>
      <c r="AZ90" s="3">
        <v>0.10765046296296296</v>
      </c>
      <c r="BA90" s="3"/>
      <c r="BD90" s="2">
        <v>18</v>
      </c>
      <c r="BE90" s="2" t="s">
        <v>817</v>
      </c>
      <c r="BF90" s="2" t="s">
        <v>444</v>
      </c>
      <c r="BG90" s="2" t="s">
        <v>736</v>
      </c>
      <c r="BH90" s="2">
        <v>1972</v>
      </c>
      <c r="BI90" s="2" t="s">
        <v>162</v>
      </c>
      <c r="BJ90" s="2" t="s">
        <v>2</v>
      </c>
      <c r="BK90" s="2" t="s">
        <v>163</v>
      </c>
      <c r="BL90" s="2" t="s">
        <v>63</v>
      </c>
      <c r="BM90" s="2" t="s">
        <v>164</v>
      </c>
      <c r="BR90" s="2" t="str">
        <f>TRIM(_xlfn.CONCAT(BI90," ",BJ90," ",BK90," ",BL90," ",BM90," ",BN90," ",BO90," ",BP90," ",BQ90))</f>
        <v>Real Club Náutico de Tenerife</v>
      </c>
      <c r="BS90" s="3" t="s">
        <v>264</v>
      </c>
      <c r="BT90" s="3"/>
    </row>
    <row r="91" spans="1:73" x14ac:dyDescent="0.6">
      <c r="A91" s="2">
        <v>87</v>
      </c>
      <c r="B91" s="2" t="s">
        <v>275</v>
      </c>
      <c r="C91" s="2" t="s">
        <v>276</v>
      </c>
      <c r="D91" s="2" t="s">
        <v>277</v>
      </c>
      <c r="E91" s="2">
        <v>2011</v>
      </c>
      <c r="F91" s="2" t="s">
        <v>2</v>
      </c>
      <c r="G91" s="2" t="s">
        <v>9</v>
      </c>
      <c r="H91" s="2" t="s">
        <v>27</v>
      </c>
      <c r="I91" s="2" t="s">
        <v>28</v>
      </c>
      <c r="J91" s="2" t="s">
        <v>278</v>
      </c>
      <c r="K91" s="2" t="s">
        <v>43</v>
      </c>
      <c r="M91" s="2" t="str">
        <f>TRIM(_xlfn.CONCAT(F91," ",G91," ",H91," ",I91," ",J91," ",K91," ",L91))</f>
        <v>Club Salvamento y Socorrismo Extrema SOS</v>
      </c>
      <c r="N91" s="3" t="s">
        <v>295</v>
      </c>
      <c r="O91" s="3"/>
      <c r="R91" s="2">
        <v>88</v>
      </c>
      <c r="S91" s="2" t="s">
        <v>503</v>
      </c>
      <c r="T91" s="2" t="s">
        <v>504</v>
      </c>
      <c r="U91" s="2" t="s">
        <v>505</v>
      </c>
      <c r="V91" s="2">
        <v>2009</v>
      </c>
      <c r="W91" s="2" t="s">
        <v>2</v>
      </c>
      <c r="X91" s="2" t="s">
        <v>108</v>
      </c>
      <c r="Y91" s="2" t="s">
        <v>109</v>
      </c>
      <c r="AF91" s="2" t="str">
        <f>TRIM(_xlfn.CONCAT(W91," ",X91," ",Y91," ",Z91," ",AA91," ",AB91," ",AC91," ",AD91," ",AE91))</f>
        <v>Club A.C.N. Marisma</v>
      </c>
      <c r="AG91" s="3">
        <v>0.10060185185185185</v>
      </c>
      <c r="AH91" s="3"/>
      <c r="AK91" s="2">
        <v>89</v>
      </c>
      <c r="AL91" s="2" t="s">
        <v>506</v>
      </c>
      <c r="AM91" s="2" t="s">
        <v>677</v>
      </c>
      <c r="AN91" s="2" t="s">
        <v>678</v>
      </c>
      <c r="AO91" s="2">
        <v>1970</v>
      </c>
      <c r="AP91" s="2" t="s">
        <v>2</v>
      </c>
      <c r="AQ91" s="2" t="s">
        <v>3</v>
      </c>
      <c r="AR91" s="2" t="s">
        <v>33</v>
      </c>
      <c r="AS91" s="2" t="s">
        <v>34</v>
      </c>
      <c r="AY91" s="2" t="str">
        <f>TRIM(_xlfn.CONCAT(AP91," ",AQ91," ",AR91," ",AS91," ",AT91," ",AU91," ",AV91," ",AW91," ",AX91))</f>
        <v>Club Deportivo Oca S.O.S</v>
      </c>
      <c r="AZ91" s="3" t="s">
        <v>264</v>
      </c>
      <c r="BA91" s="3"/>
      <c r="BD91" s="2">
        <v>19</v>
      </c>
      <c r="BE91" s="2" t="s">
        <v>149</v>
      </c>
      <c r="BF91" s="2" t="s">
        <v>818</v>
      </c>
      <c r="BG91" s="2" t="s">
        <v>890</v>
      </c>
      <c r="BH91" s="2">
        <v>1975</v>
      </c>
      <c r="BI91" s="2" t="s">
        <v>4</v>
      </c>
      <c r="BJ91" s="2" t="s">
        <v>635</v>
      </c>
      <c r="BR91" s="2" t="str">
        <f>TRIM(_xlfn.CONCAT(BI91," ",BJ91," ",BK91," ",BL91," ",BM91," ",BN91," ",BO91," ",BP91," ",BQ91))</f>
        <v>Natación RACE</v>
      </c>
      <c r="BS91" s="3" t="s">
        <v>264</v>
      </c>
      <c r="BT91" s="3"/>
    </row>
    <row r="92" spans="1:73" x14ac:dyDescent="0.6">
      <c r="A92" s="2">
        <v>88</v>
      </c>
      <c r="B92" s="2" t="s">
        <v>6</v>
      </c>
      <c r="C92" s="2" t="s">
        <v>279</v>
      </c>
      <c r="D92" s="2" t="s">
        <v>280</v>
      </c>
      <c r="E92" s="2">
        <v>2008</v>
      </c>
      <c r="F92" s="2" t="s">
        <v>2</v>
      </c>
      <c r="G92" s="2" t="s">
        <v>120</v>
      </c>
      <c r="H92" s="2" t="s">
        <v>121</v>
      </c>
      <c r="M92" s="2" t="str">
        <f>TRIM(_xlfn.CONCAT(F92," ",G92," ",H92," ",I92," ",J92," ",K92," ",L92))</f>
        <v>Club Multideporte Valladolid</v>
      </c>
      <c r="N92" s="3" t="s">
        <v>294</v>
      </c>
      <c r="O92" s="3"/>
      <c r="R92" s="2">
        <v>89</v>
      </c>
      <c r="S92" s="2" t="s">
        <v>506</v>
      </c>
      <c r="T92" s="2" t="s">
        <v>507</v>
      </c>
      <c r="U92" s="2" t="s">
        <v>439</v>
      </c>
      <c r="V92" s="2">
        <v>2011</v>
      </c>
      <c r="W92" s="2" t="s">
        <v>2</v>
      </c>
      <c r="X92" s="2" t="s">
        <v>4</v>
      </c>
      <c r="Y92" s="2" t="s">
        <v>252</v>
      </c>
      <c r="Z92" s="2" t="s">
        <v>253</v>
      </c>
      <c r="AA92" s="2" t="s">
        <v>254</v>
      </c>
      <c r="AB92" s="2" t="s">
        <v>255</v>
      </c>
      <c r="AC92" s="2" t="s">
        <v>256</v>
      </c>
      <c r="AF92" s="2" t="str">
        <f>TRIM(_xlfn.CONCAT(W92," ",X92," ",Y92," ",Z92," ",AA92," ",AB92," ",AC92," ",AD92," ",AE92))</f>
        <v>Club Natación Red Mar Top Ten Alicante</v>
      </c>
      <c r="AG92" s="3">
        <v>0.10061342592592593</v>
      </c>
      <c r="AH92" s="3"/>
      <c r="AK92" s="2">
        <v>90</v>
      </c>
      <c r="AL92" s="2" t="s">
        <v>508</v>
      </c>
      <c r="AM92" s="2" t="s">
        <v>52</v>
      </c>
      <c r="AN92" s="2" t="s">
        <v>710</v>
      </c>
      <c r="AO92" s="2">
        <v>1969</v>
      </c>
      <c r="AP92" s="2" t="s">
        <v>2</v>
      </c>
      <c r="AQ92" s="2" t="s">
        <v>3</v>
      </c>
      <c r="AR92" s="2" t="s">
        <v>33</v>
      </c>
      <c r="AS92" s="2" t="s">
        <v>34</v>
      </c>
      <c r="AY92" s="2" t="str">
        <f>TRIM(_xlfn.CONCAT(AP92," ",AQ92," ",AR92," ",AS92," ",AT92," ",AU92," ",AV92," ",AW92," ",AX92))</f>
        <v>Club Deportivo Oca S.O.S</v>
      </c>
      <c r="AZ92" s="3" t="s">
        <v>264</v>
      </c>
      <c r="BA92" s="3"/>
      <c r="BD92" s="2">
        <v>1</v>
      </c>
      <c r="BE92" s="2" t="s">
        <v>819</v>
      </c>
      <c r="BF92" s="2" t="s">
        <v>270</v>
      </c>
      <c r="BG92" s="2" t="s">
        <v>377</v>
      </c>
      <c r="BH92" s="2">
        <v>1969</v>
      </c>
      <c r="BI92" s="2" t="s">
        <v>2</v>
      </c>
      <c r="BJ92" s="2" t="s">
        <v>9</v>
      </c>
      <c r="BK92" s="2" t="s">
        <v>649</v>
      </c>
      <c r="BL92" s="2" t="s">
        <v>650</v>
      </c>
      <c r="BR92" s="2" t="str">
        <f>TRIM(_xlfn.CONCAT(BI92," ",BJ92," ",BK92," ",BL92," ",BM92," ",BN92," ",BO92," ",BP92," ",BQ92))</f>
        <v>Club Salvamento Los Locos</v>
      </c>
      <c r="BS92" s="3">
        <v>4.7928240740740743E-2</v>
      </c>
      <c r="BT92" s="3"/>
      <c r="BU92" s="2">
        <v>20</v>
      </c>
    </row>
    <row r="93" spans="1:73" x14ac:dyDescent="0.6">
      <c r="R93" s="2">
        <v>90</v>
      </c>
      <c r="S93" s="2" t="s">
        <v>508</v>
      </c>
      <c r="T93" s="2" t="s">
        <v>509</v>
      </c>
      <c r="U93" s="2" t="s">
        <v>421</v>
      </c>
      <c r="V93" s="2">
        <v>2007</v>
      </c>
      <c r="W93" s="2" t="s">
        <v>2</v>
      </c>
      <c r="X93" s="2" t="s">
        <v>510</v>
      </c>
      <c r="Y93" s="2" t="s">
        <v>511</v>
      </c>
      <c r="AF93" s="2" t="str">
        <f>TRIM(_xlfn.CONCAT(W93," ",X93," ",Y93," ",Z93," ",AA93," ",AB93," ",AC93," ",AD93," ",AE93))</f>
        <v>Club Stadium Venecia</v>
      </c>
      <c r="AG93" s="3">
        <v>0.10070601851851851</v>
      </c>
      <c r="AH93" s="3"/>
      <c r="AK93" s="2">
        <v>91</v>
      </c>
      <c r="AL93" s="2" t="s">
        <v>512</v>
      </c>
      <c r="AM93" s="2" t="s">
        <v>679</v>
      </c>
      <c r="AN93" s="2" t="s">
        <v>251</v>
      </c>
      <c r="AO93" s="2">
        <v>1962</v>
      </c>
      <c r="AP93" s="2" t="s">
        <v>2</v>
      </c>
      <c r="AQ93" s="2" t="s">
        <v>9</v>
      </c>
      <c r="AR93" s="2" t="s">
        <v>16</v>
      </c>
      <c r="AS93" s="2" t="s">
        <v>17</v>
      </c>
      <c r="AT93" s="2" t="s">
        <v>11</v>
      </c>
      <c r="AU93" s="2" t="s">
        <v>18</v>
      </c>
      <c r="AY93" s="2" t="str">
        <f>TRIM(_xlfn.CONCAT(AP93," ",AQ93," ",AR93," ",AS93," ",AT93," ",AU93," ",AV93," ",AW93," ",AX93))</f>
        <v>Club Salvamento Acuatico Ourense - SALVOUR</v>
      </c>
      <c r="AZ93" s="3">
        <v>5.935185185185185E-2</v>
      </c>
      <c r="BA93" s="3"/>
      <c r="BB93" s="2">
        <v>20</v>
      </c>
      <c r="BD93" s="2">
        <v>2</v>
      </c>
      <c r="BE93" s="2" t="s">
        <v>270</v>
      </c>
      <c r="BF93" s="2" t="s">
        <v>820</v>
      </c>
      <c r="BG93" s="2" t="s">
        <v>775</v>
      </c>
      <c r="BH93" s="2">
        <v>1967</v>
      </c>
      <c r="BI93" s="2" t="s">
        <v>572</v>
      </c>
      <c r="BJ93" s="2" t="s">
        <v>573</v>
      </c>
      <c r="BK93" s="2" t="s">
        <v>574</v>
      </c>
      <c r="BL93" s="2" t="s">
        <v>575</v>
      </c>
      <c r="BR93" s="2" t="str">
        <f>TRIM(_xlfn.CONCAT(BI93," ",BJ93," ",BK93," ",BL93," ",BM93," ",BN93," ",BO93," ",BP93," ",BQ93))</f>
        <v>Loredo Surf Life Saving</v>
      </c>
      <c r="BS93" s="3">
        <v>4.974537037037037E-2</v>
      </c>
      <c r="BT93" s="3"/>
      <c r="BU93" s="2">
        <v>18</v>
      </c>
    </row>
    <row r="94" spans="1:73" x14ac:dyDescent="0.6">
      <c r="R94" s="2">
        <v>91</v>
      </c>
      <c r="S94" s="2" t="s">
        <v>512</v>
      </c>
      <c r="T94" s="2" t="s">
        <v>513</v>
      </c>
      <c r="U94" s="2" t="s">
        <v>369</v>
      </c>
      <c r="V94" s="2">
        <v>2010</v>
      </c>
      <c r="W94" s="2" t="s">
        <v>2</v>
      </c>
      <c r="X94" s="2" t="s">
        <v>4</v>
      </c>
      <c r="Y94" s="2" t="s">
        <v>43</v>
      </c>
      <c r="Z94" s="2" t="s">
        <v>153</v>
      </c>
      <c r="AF94" s="2" t="str">
        <f>TRIM(_xlfn.CONCAT(W94," ",X94," ",Y94," ",Z94," ",AA94," ",AB94," ",AC94," ",AD94," ",AE94))</f>
        <v>Club Natación SOS Bétera</v>
      </c>
      <c r="AG94" s="3">
        <v>0.10140046296296296</v>
      </c>
      <c r="AH94" s="3"/>
      <c r="AK94" s="2">
        <v>92</v>
      </c>
      <c r="AL94" s="2" t="s">
        <v>515</v>
      </c>
      <c r="AM94" s="2" t="s">
        <v>414</v>
      </c>
      <c r="AN94" s="2" t="s">
        <v>692</v>
      </c>
      <c r="AO94" s="2">
        <v>1963</v>
      </c>
      <c r="AP94" s="2" t="s">
        <v>171</v>
      </c>
      <c r="AQ94" s="2" t="s">
        <v>602</v>
      </c>
      <c r="AR94" s="2" t="s">
        <v>603</v>
      </c>
      <c r="AY94" s="2" t="str">
        <f>TRIM(_xlfn.CONCAT(AP94," ",AQ94," ",AR94," ",AS94," ",AT94," ",AU94," ",AV94," ",AW94," ",AX94))</f>
        <v>C.D.E Máster Arganda</v>
      </c>
      <c r="AZ94" s="3">
        <v>6.6736111111111107E-2</v>
      </c>
      <c r="BA94" s="3"/>
      <c r="BB94" s="2">
        <v>18</v>
      </c>
      <c r="BD94" s="2">
        <v>3</v>
      </c>
      <c r="BE94" s="2" t="s">
        <v>821</v>
      </c>
      <c r="BF94" s="2" t="s">
        <v>134</v>
      </c>
      <c r="BG94" s="2" t="s">
        <v>377</v>
      </c>
      <c r="BH94" s="2">
        <v>1966</v>
      </c>
      <c r="BI94" s="2" t="s">
        <v>2</v>
      </c>
      <c r="BJ94" s="2" t="s">
        <v>3</v>
      </c>
      <c r="BK94" s="2" t="s">
        <v>4</v>
      </c>
      <c r="BL94" s="2" t="s">
        <v>5</v>
      </c>
      <c r="BR94" s="2" t="str">
        <f>TRIM(_xlfn.CONCAT(BI94," ",BJ94," ",BK94," ",BL94," ",BM94," ",BN94," ",BO94," ",BP94," ",BQ94))</f>
        <v>Club Deportivo Natación Aldaia</v>
      </c>
      <c r="BS94" s="3">
        <v>5.167824074074074E-2</v>
      </c>
      <c r="BT94" s="3"/>
      <c r="BU94" s="2">
        <v>16</v>
      </c>
    </row>
    <row r="95" spans="1:73" x14ac:dyDescent="0.6">
      <c r="R95" s="2">
        <v>92</v>
      </c>
      <c r="S95" s="2" t="s">
        <v>515</v>
      </c>
      <c r="T95" s="2" t="s">
        <v>516</v>
      </c>
      <c r="U95" s="2" t="s">
        <v>517</v>
      </c>
      <c r="V95" s="2">
        <v>2010</v>
      </c>
      <c r="W95" s="2" t="s">
        <v>2</v>
      </c>
      <c r="X95" s="2" t="s">
        <v>108</v>
      </c>
      <c r="Y95" s="2" t="s">
        <v>109</v>
      </c>
      <c r="AF95" s="2" t="str">
        <f>TRIM(_xlfn.CONCAT(W95," ",X95," ",Y95," ",Z95," ",AA95," ",AB95," ",AC95," ",AD95," ",AE95))</f>
        <v>Club A.C.N. Marisma</v>
      </c>
      <c r="AG95" s="3">
        <v>0.10280092592592592</v>
      </c>
      <c r="AH95" s="3"/>
      <c r="AK95" s="2">
        <v>93</v>
      </c>
      <c r="AL95" s="2" t="s">
        <v>518</v>
      </c>
      <c r="AM95" s="2" t="s">
        <v>680</v>
      </c>
      <c r="AN95" s="2" t="s">
        <v>693</v>
      </c>
      <c r="AO95" s="2">
        <v>1964</v>
      </c>
      <c r="AP95" s="2" t="s">
        <v>2</v>
      </c>
      <c r="AQ95" s="2" t="s">
        <v>3</v>
      </c>
      <c r="AR95" s="2" t="s">
        <v>33</v>
      </c>
      <c r="AS95" s="2" t="s">
        <v>34</v>
      </c>
      <c r="AY95" s="2" t="str">
        <f>TRIM(_xlfn.CONCAT(AP95," ",AQ95," ",AR95," ",AS95," ",AT95," ",AU95," ",AV95," ",AW95," ",AX95))</f>
        <v>Club Deportivo Oca S.O.S</v>
      </c>
      <c r="AZ95" s="3">
        <v>7.6643518518518514E-2</v>
      </c>
      <c r="BA95" s="3"/>
      <c r="BB95" s="2">
        <v>16</v>
      </c>
      <c r="BD95" s="2">
        <v>4</v>
      </c>
      <c r="BE95" s="2" t="s">
        <v>822</v>
      </c>
      <c r="BF95" s="2" t="s">
        <v>823</v>
      </c>
      <c r="BG95" s="2" t="s">
        <v>724</v>
      </c>
      <c r="BH95" s="2">
        <v>1969</v>
      </c>
      <c r="BI95" s="2" t="s">
        <v>4</v>
      </c>
      <c r="BJ95" s="2" t="s">
        <v>635</v>
      </c>
      <c r="BR95" s="2" t="str">
        <f>TRIM(_xlfn.CONCAT(BI95," ",BJ95," ",BK95," ",BL95," ",BM95," ",BN95," ",BO95," ",BP95," ",BQ95))</f>
        <v>Natación RACE</v>
      </c>
      <c r="BS95" s="3">
        <v>5.2199074074074071E-2</v>
      </c>
      <c r="BT95" s="3"/>
      <c r="BU95" s="2">
        <v>14</v>
      </c>
    </row>
    <row r="96" spans="1:73" x14ac:dyDescent="0.6">
      <c r="R96" s="2">
        <v>93</v>
      </c>
      <c r="S96" s="2" t="s">
        <v>518</v>
      </c>
      <c r="T96" s="2" t="s">
        <v>519</v>
      </c>
      <c r="U96" s="2" t="s">
        <v>520</v>
      </c>
      <c r="V96" s="2">
        <v>2010</v>
      </c>
      <c r="W96" s="2" t="s">
        <v>2</v>
      </c>
      <c r="X96" s="2" t="s">
        <v>9</v>
      </c>
      <c r="Y96" s="2" t="s">
        <v>116</v>
      </c>
      <c r="AF96" s="2" t="str">
        <f>TRIM(_xlfn.CONCAT(W96," ",X96," ",Y96," ",Z96," ",AA96," ",AB96," ",AC96," ",AD96," ",AE96))</f>
        <v>Club Salvamento Vilagarcía</v>
      </c>
      <c r="AG96" s="3">
        <v>0.10291666666666667</v>
      </c>
      <c r="AH96" s="3"/>
      <c r="AK96" s="2">
        <v>94</v>
      </c>
      <c r="AL96" s="2" t="s">
        <v>521</v>
      </c>
      <c r="AM96" s="2" t="s">
        <v>681</v>
      </c>
      <c r="AN96" s="2" t="s">
        <v>37</v>
      </c>
      <c r="AO96" s="2">
        <v>1965</v>
      </c>
      <c r="AP96" s="2" t="s">
        <v>2</v>
      </c>
      <c r="AQ96" s="2" t="s">
        <v>108</v>
      </c>
      <c r="AR96" s="2" t="s">
        <v>109</v>
      </c>
      <c r="AY96" s="2" t="str">
        <f>TRIM(_xlfn.CONCAT(AP96," ",AQ96," ",AR96," ",AS96," ",AT96," ",AU96," ",AV96," ",AW96," ",AX96))</f>
        <v>Club A.C.N. Marisma</v>
      </c>
      <c r="AZ96" s="3">
        <v>8.0949074074074076E-2</v>
      </c>
      <c r="BA96" s="3"/>
      <c r="BB96" s="2">
        <v>14</v>
      </c>
      <c r="BD96" s="2">
        <v>5</v>
      </c>
      <c r="BE96" s="2" t="s">
        <v>824</v>
      </c>
      <c r="BF96" s="2" t="s">
        <v>129</v>
      </c>
      <c r="BG96" s="2" t="s">
        <v>388</v>
      </c>
      <c r="BH96" s="2">
        <v>1969</v>
      </c>
      <c r="BI96" s="2" t="s">
        <v>171</v>
      </c>
      <c r="BJ96" s="2" t="s">
        <v>172</v>
      </c>
      <c r="BK96" s="2" t="s">
        <v>9</v>
      </c>
      <c r="BR96" s="2" t="str">
        <f>TRIM(_xlfn.CONCAT(BI96," ",BJ96," ",BK96," ",BL96," ",BM96," ",BN96," ",BO96," ",BP96," ",BQ96))</f>
        <v>C.D.E Pacífico Salvamento</v>
      </c>
      <c r="BS96" s="3">
        <v>5.3124999999999999E-2</v>
      </c>
      <c r="BT96" s="3"/>
      <c r="BU96" s="2">
        <v>13</v>
      </c>
    </row>
    <row r="97" spans="18:73" x14ac:dyDescent="0.6">
      <c r="R97" s="2">
        <v>94</v>
      </c>
      <c r="S97" s="2" t="s">
        <v>521</v>
      </c>
      <c r="T97" s="2" t="s">
        <v>522</v>
      </c>
      <c r="U97" s="2" t="s">
        <v>463</v>
      </c>
      <c r="V97" s="2">
        <v>2007</v>
      </c>
      <c r="W97" s="2" t="s">
        <v>2</v>
      </c>
      <c r="X97" s="2" t="s">
        <v>93</v>
      </c>
      <c r="Y97" s="2" t="s">
        <v>63</v>
      </c>
      <c r="Z97" s="2" t="s">
        <v>167</v>
      </c>
      <c r="AA97" s="2" t="s">
        <v>168</v>
      </c>
      <c r="AF97" s="2" t="str">
        <f>TRIM(_xlfn.CONCAT(W97," ",X97," ",Y97," ",Z97," ",AA97," ",AB97," ",AC97," ",AD97," ",AE97))</f>
        <v>Club Playas de Castro Urdiales</v>
      </c>
      <c r="AG97" s="3">
        <v>0.10284722222222223</v>
      </c>
      <c r="AH97" s="3"/>
      <c r="AK97" s="2">
        <v>95</v>
      </c>
      <c r="AL97" s="2" t="s">
        <v>182</v>
      </c>
      <c r="AM97" s="2" t="s">
        <v>690</v>
      </c>
      <c r="AN97" s="2" t="s">
        <v>682</v>
      </c>
      <c r="AO97" s="2">
        <v>1963</v>
      </c>
      <c r="AP97" s="2" t="s">
        <v>2</v>
      </c>
      <c r="AQ97" s="2" t="s">
        <v>108</v>
      </c>
      <c r="AR97" s="2" t="s">
        <v>109</v>
      </c>
      <c r="AY97" s="2" t="str">
        <f>TRIM(_xlfn.CONCAT(AP97," ",AQ97," ",AR97," ",AS97," ",AT97," ",AU97," ",AV97," ",AW97," ",AX97))</f>
        <v>Club A.C.N. Marisma</v>
      </c>
      <c r="AZ97" s="3">
        <v>9.1261574074074078E-2</v>
      </c>
      <c r="BA97" s="3"/>
      <c r="BB97" s="2">
        <v>13</v>
      </c>
      <c r="BD97" s="2">
        <v>6</v>
      </c>
      <c r="BE97" s="2" t="s">
        <v>891</v>
      </c>
      <c r="BF97" s="2" t="s">
        <v>825</v>
      </c>
      <c r="BG97" s="2" t="s">
        <v>337</v>
      </c>
      <c r="BH97" s="2">
        <v>1967</v>
      </c>
      <c r="BI97" s="2" t="s">
        <v>4</v>
      </c>
      <c r="BJ97" s="2" t="s">
        <v>635</v>
      </c>
      <c r="BR97" s="2" t="str">
        <f>TRIM(_xlfn.CONCAT(BI97," ",BJ97," ",BK97," ",BL97," ",BM97," ",BN97," ",BO97," ",BP97," ",BQ97))</f>
        <v>Natación RACE</v>
      </c>
      <c r="BS97" s="3">
        <v>5.3113425925925925E-2</v>
      </c>
      <c r="BT97" s="3"/>
      <c r="BU97" s="2">
        <v>12</v>
      </c>
    </row>
    <row r="98" spans="18:73" x14ac:dyDescent="0.6">
      <c r="R98" s="2">
        <v>95</v>
      </c>
      <c r="S98" s="2" t="s">
        <v>182</v>
      </c>
      <c r="T98" s="2" t="s">
        <v>345</v>
      </c>
      <c r="U98" s="2" t="s">
        <v>463</v>
      </c>
      <c r="V98" s="2">
        <v>2006</v>
      </c>
      <c r="W98" s="2" t="s">
        <v>2</v>
      </c>
      <c r="X98" s="2" t="s">
        <v>93</v>
      </c>
      <c r="Y98" s="2" t="s">
        <v>63</v>
      </c>
      <c r="Z98" s="2" t="s">
        <v>167</v>
      </c>
      <c r="AA98" s="2" t="s">
        <v>168</v>
      </c>
      <c r="AF98" s="2" t="str">
        <f>TRIM(_xlfn.CONCAT(W98," ",X98," ",Y98," ",Z98," ",AA98," ",AB98," ",AC98," ",AD98," ",AE98))</f>
        <v>Club Playas de Castro Urdiales</v>
      </c>
      <c r="AG98" s="3">
        <v>0.10284722222222223</v>
      </c>
      <c r="AH98" s="3"/>
      <c r="AK98" s="2">
        <v>96</v>
      </c>
      <c r="AL98" s="2" t="s">
        <v>471</v>
      </c>
      <c r="AM98" s="2" t="s">
        <v>214</v>
      </c>
      <c r="AN98" s="2" t="s">
        <v>691</v>
      </c>
      <c r="AO98" s="2">
        <v>1964</v>
      </c>
      <c r="AP98" s="2" t="s">
        <v>41</v>
      </c>
      <c r="AQ98" s="2" t="s">
        <v>42</v>
      </c>
      <c r="AR98" s="2" t="s">
        <v>9</v>
      </c>
      <c r="AS98" s="2" t="s">
        <v>157</v>
      </c>
      <c r="AY98" s="2" t="str">
        <f>TRIM(_xlfn.CONCAT(AP98," ",AQ98," ",AR98," ",AS98," ",AT98," ",AU98," ",AV98," ",AW98," ",AX98))</f>
        <v>C. D. Salvamento Dragones</v>
      </c>
      <c r="AZ98" s="3" t="s">
        <v>264</v>
      </c>
      <c r="BA98" s="3"/>
      <c r="BD98" s="2">
        <v>7</v>
      </c>
      <c r="BE98" s="2" t="s">
        <v>333</v>
      </c>
      <c r="BF98" s="2" t="s">
        <v>826</v>
      </c>
      <c r="BG98" s="2" t="s">
        <v>321</v>
      </c>
      <c r="BH98" s="2">
        <v>1969</v>
      </c>
      <c r="BI98" s="2" t="s">
        <v>2</v>
      </c>
      <c r="BJ98" s="2" t="s">
        <v>242</v>
      </c>
      <c r="BK98" s="2" t="s">
        <v>243</v>
      </c>
      <c r="BR98" s="2" t="str">
        <f>TRIM(_xlfn.CONCAT(BI98," ",BJ98," ",BK98," ",BL98," ",BM98," ",BN98," ",BO98," ",BP98," ",BQ98))</f>
        <v>Club Acuático Umia</v>
      </c>
      <c r="BS98" s="3">
        <v>5.364583333333333E-2</v>
      </c>
      <c r="BT98" s="3"/>
      <c r="BU98" s="2">
        <v>11</v>
      </c>
    </row>
    <row r="99" spans="18:73" x14ac:dyDescent="0.6">
      <c r="R99" s="2">
        <v>96</v>
      </c>
      <c r="S99" s="2" t="s">
        <v>471</v>
      </c>
      <c r="T99" s="2" t="s">
        <v>309</v>
      </c>
      <c r="U99" s="2" t="s">
        <v>324</v>
      </c>
      <c r="V99" s="2">
        <v>2008</v>
      </c>
      <c r="W99" s="2" t="s">
        <v>2</v>
      </c>
      <c r="X99" s="2" t="s">
        <v>3</v>
      </c>
      <c r="Y99" s="2" t="s">
        <v>237</v>
      </c>
      <c r="Z99" s="2" t="s">
        <v>238</v>
      </c>
      <c r="AA99" s="2" t="s">
        <v>239</v>
      </c>
      <c r="AF99" s="2" t="str">
        <f>TRIM(_xlfn.CONCAT(W99," ",X99," ",Y99," ",Z99," ",AA99," ",AB99," ",AC99," ",AD99," ",AE99))</f>
        <v>Club Deportivo Unión Esgueva SOSVA</v>
      </c>
      <c r="AG99" s="3">
        <v>0.10297453703703703</v>
      </c>
      <c r="AH99" s="3"/>
      <c r="AK99" s="2">
        <v>97</v>
      </c>
      <c r="AL99" s="2" t="s">
        <v>183</v>
      </c>
      <c r="AM99" s="2" t="s">
        <v>683</v>
      </c>
      <c r="AN99" s="2" t="s">
        <v>684</v>
      </c>
      <c r="AO99" s="2">
        <v>1954</v>
      </c>
      <c r="AP99" s="2" t="s">
        <v>2</v>
      </c>
      <c r="AQ99" s="2" t="s">
        <v>108</v>
      </c>
      <c r="AR99" s="2" t="s">
        <v>109</v>
      </c>
      <c r="AY99" s="2" t="str">
        <f>TRIM(_xlfn.CONCAT(AP99," ",AQ99," ",AR99," ",AS99," ",AT99," ",AU99," ",AV99," ",AW99," ",AX99))</f>
        <v>Club A.C.N. Marisma</v>
      </c>
      <c r="AZ99" s="3">
        <v>8.4340277777777778E-2</v>
      </c>
      <c r="BA99" s="3"/>
      <c r="BB99" s="2">
        <v>20</v>
      </c>
      <c r="BD99" s="2">
        <v>8</v>
      </c>
      <c r="BE99" s="2" t="s">
        <v>270</v>
      </c>
      <c r="BF99" s="2" t="s">
        <v>820</v>
      </c>
      <c r="BG99" s="2" t="s">
        <v>354</v>
      </c>
      <c r="BH99" s="2">
        <v>1970</v>
      </c>
      <c r="BI99" s="2" t="s">
        <v>572</v>
      </c>
      <c r="BJ99" s="2" t="s">
        <v>573</v>
      </c>
      <c r="BK99" s="2" t="s">
        <v>574</v>
      </c>
      <c r="BL99" s="2" t="s">
        <v>575</v>
      </c>
      <c r="BR99" s="2" t="str">
        <f>TRIM(_xlfn.CONCAT(BI99," ",BJ99," ",BK99," ",BL99," ",BM99," ",BN99," ",BO99," ",BP99," ",BQ99))</f>
        <v>Loredo Surf Life Saving</v>
      </c>
      <c r="BS99" s="3">
        <v>5.4606481481481478E-2</v>
      </c>
      <c r="BT99" s="3"/>
      <c r="BU99" s="2">
        <v>10</v>
      </c>
    </row>
    <row r="100" spans="18:73" x14ac:dyDescent="0.6">
      <c r="R100" s="2">
        <v>97</v>
      </c>
      <c r="S100" s="2" t="s">
        <v>183</v>
      </c>
      <c r="T100" s="2" t="s">
        <v>523</v>
      </c>
      <c r="U100" s="2" t="s">
        <v>524</v>
      </c>
      <c r="V100" s="2">
        <v>2010</v>
      </c>
      <c r="W100" s="2" t="s">
        <v>2</v>
      </c>
      <c r="X100" s="2" t="s">
        <v>3</v>
      </c>
      <c r="Y100" s="2" t="s">
        <v>197</v>
      </c>
      <c r="Z100" s="2" t="s">
        <v>198</v>
      </c>
      <c r="AF100" s="2" t="str">
        <f>TRIM(_xlfn.CONCAT(W100," ",X100," ",Y100," ",Z100," ",AA100," ",AB100," ",AC100," ",AD100," ",AE100))</f>
        <v>Club Deportivo Talasa Torremolinos</v>
      </c>
      <c r="AG100" s="3">
        <v>0.1034375</v>
      </c>
      <c r="AH100" s="3"/>
      <c r="AK100" s="2">
        <v>98</v>
      </c>
      <c r="AL100" s="2" t="s">
        <v>223</v>
      </c>
      <c r="AM100" s="2" t="s">
        <v>685</v>
      </c>
      <c r="AN100" s="2" t="s">
        <v>695</v>
      </c>
      <c r="AO100" s="2">
        <v>1948</v>
      </c>
      <c r="AP100" s="2" t="s">
        <v>2</v>
      </c>
      <c r="AQ100" s="2" t="s">
        <v>22</v>
      </c>
      <c r="AR100" s="2" t="s">
        <v>104</v>
      </c>
      <c r="AS100" s="2" t="s">
        <v>105</v>
      </c>
      <c r="AY100" s="2" t="str">
        <f>TRIM(_xlfn.CONCAT(AP100," ",AQ100," ",AR100," ",AS100," ",AT100," ",AU100," ",AV100," ",AW100," ",AX100))</f>
        <v>Club Natació Reus Ploms</v>
      </c>
      <c r="AZ100" s="3">
        <v>9.734953703703704E-2</v>
      </c>
      <c r="BA100" s="3"/>
      <c r="BB100" s="2">
        <v>18</v>
      </c>
      <c r="BD100" s="2">
        <v>9</v>
      </c>
      <c r="BE100" s="2" t="s">
        <v>827</v>
      </c>
      <c r="BF100" s="2" t="s">
        <v>333</v>
      </c>
      <c r="BG100" s="2" t="s">
        <v>888</v>
      </c>
      <c r="BH100" s="2">
        <v>1970</v>
      </c>
      <c r="BI100" s="2" t="s">
        <v>2</v>
      </c>
      <c r="BJ100" s="2" t="s">
        <v>3</v>
      </c>
      <c r="BK100" s="2" t="s">
        <v>33</v>
      </c>
      <c r="BL100" s="2" t="s">
        <v>34</v>
      </c>
      <c r="BR100" s="2" t="str">
        <f>TRIM(_xlfn.CONCAT(BI100," ",BJ100," ",BK100," ",BL100," ",BM100," ",BN100," ",BO100," ",BP100," ",BQ100))</f>
        <v>Club Deportivo Oca S.O.S</v>
      </c>
      <c r="BS100" s="3">
        <v>5.451388888888889E-2</v>
      </c>
      <c r="BT100" s="3"/>
      <c r="BU100" s="2">
        <v>8</v>
      </c>
    </row>
    <row r="101" spans="18:73" x14ac:dyDescent="0.6">
      <c r="R101" s="2">
        <v>98</v>
      </c>
      <c r="S101" s="2" t="s">
        <v>223</v>
      </c>
      <c r="T101" s="2" t="s">
        <v>525</v>
      </c>
      <c r="U101" s="2" t="s">
        <v>375</v>
      </c>
      <c r="V101" s="2">
        <v>2008</v>
      </c>
      <c r="W101" s="2" t="s">
        <v>466</v>
      </c>
      <c r="X101" s="2" t="s">
        <v>467</v>
      </c>
      <c r="Y101" s="2" t="s">
        <v>34</v>
      </c>
      <c r="AF101" s="2" t="str">
        <f>TRIM(_xlfn.CONCAT(W101," ",X101," ",Y101," ",Z101," ",AA101," ",AB101," ",AC101," ",AD101," ",AE101))</f>
        <v>C.D.B. Vallecas S.O.S</v>
      </c>
      <c r="AG101" s="3">
        <v>0.10400462962962963</v>
      </c>
      <c r="AH101" s="3"/>
      <c r="AK101" s="2">
        <v>99</v>
      </c>
      <c r="AL101" s="2" t="s">
        <v>279</v>
      </c>
      <c r="AM101" s="2" t="s">
        <v>686</v>
      </c>
      <c r="AN101" s="2" t="s">
        <v>711</v>
      </c>
      <c r="AO101" s="2">
        <v>1948</v>
      </c>
      <c r="AP101" s="2" t="s">
        <v>2</v>
      </c>
      <c r="AQ101" s="2" t="s">
        <v>9</v>
      </c>
      <c r="AR101" s="2" t="s">
        <v>27</v>
      </c>
      <c r="AS101" s="2" t="s">
        <v>28</v>
      </c>
      <c r="AT101" s="2" t="s">
        <v>139</v>
      </c>
      <c r="AU101" s="2" t="s">
        <v>11</v>
      </c>
      <c r="AV101" s="2" t="s">
        <v>140</v>
      </c>
      <c r="AY101" s="2" t="str">
        <f>TRIM(_xlfn.CONCAT(AP101," ",AQ101," ",AR101," ",AS101," ",AT101," ",AU101," ",AV101," ",AW101," ",AX101))</f>
        <v>Club Salvamento y Socorrismo Carballo - SYSCA</v>
      </c>
      <c r="AZ101" s="3">
        <v>9.8958333333333329E-2</v>
      </c>
      <c r="BA101" s="3"/>
      <c r="BB101" s="2">
        <v>16</v>
      </c>
      <c r="BD101" s="2">
        <v>10</v>
      </c>
      <c r="BE101" s="2" t="s">
        <v>892</v>
      </c>
      <c r="BF101" s="2" t="s">
        <v>828</v>
      </c>
      <c r="BG101" s="2" t="s">
        <v>770</v>
      </c>
      <c r="BH101" s="2">
        <v>1967</v>
      </c>
      <c r="BI101" s="2" t="s">
        <v>2</v>
      </c>
      <c r="BJ101" s="2" t="s">
        <v>3</v>
      </c>
      <c r="BK101" s="2" t="s">
        <v>33</v>
      </c>
      <c r="BL101" s="2" t="s">
        <v>34</v>
      </c>
      <c r="BR101" s="2" t="str">
        <f>TRIM(_xlfn.CONCAT(BI101," ",BJ101," ",BK101," ",BL101," ",BM101," ",BN101," ",BO101," ",BP101," ",BQ101))</f>
        <v>Club Deportivo Oca S.O.S</v>
      </c>
      <c r="BS101" s="3">
        <v>5.5312500000000001E-2</v>
      </c>
      <c r="BT101" s="3"/>
      <c r="BU101" s="2">
        <v>7</v>
      </c>
    </row>
    <row r="102" spans="18:73" x14ac:dyDescent="0.6">
      <c r="R102" s="2">
        <v>99</v>
      </c>
      <c r="S102" s="2" t="s">
        <v>279</v>
      </c>
      <c r="T102" s="2" t="s">
        <v>526</v>
      </c>
      <c r="U102" s="2" t="s">
        <v>527</v>
      </c>
      <c r="V102" s="2">
        <v>2009</v>
      </c>
      <c r="W102" s="2" t="s">
        <v>62</v>
      </c>
      <c r="X102" s="2" t="s">
        <v>63</v>
      </c>
      <c r="Y102" s="2" t="s">
        <v>9</v>
      </c>
      <c r="Z102" s="2" t="s">
        <v>27</v>
      </c>
      <c r="AA102" s="2" t="s">
        <v>28</v>
      </c>
      <c r="AF102" s="2" t="str">
        <f>TRIM(_xlfn.CONCAT(W102," ",X102," ",Y102," ",Z102," ",AA102," ",AB102," ",AC102," ",AD102," ",AE102))</f>
        <v>Alcarreño de Salvamento y Socorrismo</v>
      </c>
      <c r="AG102" s="3">
        <v>0.10421296296296297</v>
      </c>
      <c r="AH102" s="3"/>
      <c r="BD102" s="2">
        <v>11</v>
      </c>
      <c r="BE102" s="2" t="s">
        <v>829</v>
      </c>
      <c r="BF102" s="2" t="s">
        <v>725</v>
      </c>
      <c r="BG102" s="2" t="s">
        <v>830</v>
      </c>
      <c r="BH102" s="2">
        <v>1969</v>
      </c>
      <c r="BI102" s="2" t="s">
        <v>171</v>
      </c>
      <c r="BJ102" s="2" t="s">
        <v>172</v>
      </c>
      <c r="BK102" s="2" t="s">
        <v>9</v>
      </c>
      <c r="BR102" s="2" t="str">
        <f>TRIM(_xlfn.CONCAT(BI102," ",BJ102," ",BK102," ",BL102," ",BM102," ",BN102," ",BO102," ",BP102," ",BQ102))</f>
        <v>C.D.E Pacífico Salvamento</v>
      </c>
      <c r="BS102" s="3">
        <v>5.6365740740740744E-2</v>
      </c>
      <c r="BT102" s="3"/>
      <c r="BU102" s="2">
        <v>6</v>
      </c>
    </row>
    <row r="103" spans="18:73" x14ac:dyDescent="0.6">
      <c r="R103" s="2">
        <v>100</v>
      </c>
      <c r="S103" s="2" t="s">
        <v>528</v>
      </c>
      <c r="T103" s="2" t="s">
        <v>529</v>
      </c>
      <c r="U103" s="2" t="s">
        <v>470</v>
      </c>
      <c r="V103" s="2">
        <v>2009</v>
      </c>
      <c r="W103" s="2" t="s">
        <v>171</v>
      </c>
      <c r="X103" s="2" t="s">
        <v>172</v>
      </c>
      <c r="Y103" s="2" t="s">
        <v>9</v>
      </c>
      <c r="AF103" s="2" t="str">
        <f>TRIM(_xlfn.CONCAT(W103," ",X103," ",Y103," ",Z103," ",AA103," ",AB103," ",AC103," ",AD103," ",AE103))</f>
        <v>C.D.E Pacífico Salvamento</v>
      </c>
      <c r="AG103" s="3">
        <v>0.10427083333333333</v>
      </c>
      <c r="AH103" s="3"/>
      <c r="BD103" s="2">
        <v>12</v>
      </c>
      <c r="BE103" s="2" t="s">
        <v>893</v>
      </c>
      <c r="BF103" s="2" t="s">
        <v>831</v>
      </c>
      <c r="BG103" s="2" t="s">
        <v>832</v>
      </c>
      <c r="BH103" s="2">
        <v>1969</v>
      </c>
      <c r="BI103" s="2" t="s">
        <v>4</v>
      </c>
      <c r="BJ103" s="2" t="s">
        <v>635</v>
      </c>
      <c r="BR103" s="2" t="str">
        <f>TRIM(_xlfn.CONCAT(BI103," ",BJ103," ",BK103," ",BL103," ",BM103," ",BN103," ",BO103," ",BP103," ",BQ103))</f>
        <v>Natación RACE</v>
      </c>
      <c r="BS103" s="3">
        <v>5.6631944444444443E-2</v>
      </c>
      <c r="BT103" s="3"/>
      <c r="BU103" s="2">
        <v>5</v>
      </c>
    </row>
    <row r="104" spans="18:73" x14ac:dyDescent="0.6">
      <c r="R104" s="2">
        <v>101</v>
      </c>
      <c r="S104" s="2" t="s">
        <v>530</v>
      </c>
      <c r="T104" s="2" t="s">
        <v>149</v>
      </c>
      <c r="U104" s="2" t="s">
        <v>531</v>
      </c>
      <c r="V104" s="2">
        <v>2008</v>
      </c>
      <c r="W104" s="2" t="s">
        <v>62</v>
      </c>
      <c r="X104" s="2" t="s">
        <v>63</v>
      </c>
      <c r="Y104" s="2" t="s">
        <v>9</v>
      </c>
      <c r="Z104" s="2" t="s">
        <v>27</v>
      </c>
      <c r="AA104" s="2" t="s">
        <v>28</v>
      </c>
      <c r="AF104" s="2" t="str">
        <f>TRIM(_xlfn.CONCAT(W104," ",X104," ",Y104," ",Z104," ",AA104," ",AB104," ",AC104," ",AD104," ",AE104))</f>
        <v>Alcarreño de Salvamento y Socorrismo</v>
      </c>
      <c r="AG104" s="3">
        <v>0.10430555555555555</v>
      </c>
      <c r="AH104" s="3"/>
      <c r="BD104" s="2">
        <v>13</v>
      </c>
      <c r="BE104" s="2" t="s">
        <v>894</v>
      </c>
      <c r="BF104" s="2" t="s">
        <v>834</v>
      </c>
      <c r="BG104" s="2" t="s">
        <v>895</v>
      </c>
      <c r="BH104" s="2">
        <v>1970</v>
      </c>
      <c r="BI104" s="2" t="s">
        <v>572</v>
      </c>
      <c r="BJ104" s="2" t="s">
        <v>573</v>
      </c>
      <c r="BK104" s="2" t="s">
        <v>574</v>
      </c>
      <c r="BL104" s="2" t="s">
        <v>575</v>
      </c>
      <c r="BR104" s="2" t="str">
        <f>TRIM(_xlfn.CONCAT(BI104," ",BJ104," ",BK104," ",BL104," ",BM104," ",BN104," ",BO104," ",BP104," ",BQ104))</f>
        <v>Loredo Surf Life Saving</v>
      </c>
      <c r="BS104" s="3">
        <v>5.7685185185185187E-2</v>
      </c>
      <c r="BT104" s="3"/>
      <c r="BU104" s="2">
        <v>4</v>
      </c>
    </row>
    <row r="105" spans="18:73" x14ac:dyDescent="0.6">
      <c r="R105" s="2">
        <v>102</v>
      </c>
      <c r="S105" s="2" t="s">
        <v>532</v>
      </c>
      <c r="T105" s="2" t="s">
        <v>533</v>
      </c>
      <c r="U105" s="2" t="s">
        <v>534</v>
      </c>
      <c r="V105" s="2">
        <v>2010</v>
      </c>
      <c r="W105" s="2" t="s">
        <v>2</v>
      </c>
      <c r="X105" s="2" t="s">
        <v>3</v>
      </c>
      <c r="Y105" s="2" t="s">
        <v>535</v>
      </c>
      <c r="Z105" s="2" t="s">
        <v>63</v>
      </c>
      <c r="AA105" s="2" t="s">
        <v>536</v>
      </c>
      <c r="AF105" s="2" t="str">
        <f>TRIM(_xlfn.CONCAT(W105," ",X105," ",Y105," ",Z105," ",AA105," ",AB105," ",AC105," ",AD105," ",AE105))</f>
        <v>Club Deportivo Sirenas de Catarroja</v>
      </c>
      <c r="AG105" s="3">
        <v>0.10434027777777778</v>
      </c>
      <c r="AH105" s="3"/>
      <c r="BD105" s="2">
        <v>14</v>
      </c>
      <c r="BE105" s="2" t="s">
        <v>248</v>
      </c>
      <c r="BF105" s="2" t="s">
        <v>835</v>
      </c>
      <c r="BG105" s="2" t="s">
        <v>896</v>
      </c>
      <c r="BH105" s="2">
        <v>1966</v>
      </c>
      <c r="BI105" s="2" t="s">
        <v>2</v>
      </c>
      <c r="BJ105" s="2" t="s">
        <v>3</v>
      </c>
      <c r="BK105" s="2" t="s">
        <v>33</v>
      </c>
      <c r="BL105" s="2" t="s">
        <v>34</v>
      </c>
      <c r="BR105" s="2" t="str">
        <f>TRIM(_xlfn.CONCAT(BI105," ",BJ105," ",BK105," ",BL105," ",BM105," ",BN105," ",BO105," ",BP105," ",BQ105))</f>
        <v>Club Deportivo Oca S.O.S</v>
      </c>
      <c r="BS105" s="3">
        <v>5.8414351851851849E-2</v>
      </c>
      <c r="BT105" s="3"/>
      <c r="BU105" s="2">
        <v>3</v>
      </c>
    </row>
    <row r="106" spans="18:73" x14ac:dyDescent="0.6">
      <c r="R106" s="2">
        <v>103</v>
      </c>
      <c r="S106" s="2" t="s">
        <v>537</v>
      </c>
      <c r="T106" s="2" t="s">
        <v>436</v>
      </c>
      <c r="U106" s="2" t="s">
        <v>402</v>
      </c>
      <c r="V106" s="2">
        <v>2010</v>
      </c>
      <c r="W106" s="2" t="s">
        <v>2</v>
      </c>
      <c r="X106" s="2" t="s">
        <v>538</v>
      </c>
      <c r="Y106" s="2" t="s">
        <v>63</v>
      </c>
      <c r="Z106" s="2" t="s">
        <v>539</v>
      </c>
      <c r="AF106" s="2" t="str">
        <f>TRIM(_xlfn.CONCAT(W106," ",X106," ",Y106," ",Z106," ",AA106," ",AB106," ",AC106," ",AD106," ",AE106))</f>
        <v>Club Amics de Riudoms</v>
      </c>
      <c r="AG106" s="3">
        <v>0.1052199074074074</v>
      </c>
      <c r="AH106" s="3"/>
      <c r="BD106" s="2">
        <v>15</v>
      </c>
      <c r="BE106" s="2" t="s">
        <v>836</v>
      </c>
      <c r="BF106" s="2" t="s">
        <v>837</v>
      </c>
      <c r="BG106" s="2" t="s">
        <v>897</v>
      </c>
      <c r="BH106" s="2">
        <v>1968</v>
      </c>
      <c r="BI106" s="2" t="s">
        <v>2</v>
      </c>
      <c r="BJ106" s="2" t="s">
        <v>210</v>
      </c>
      <c r="BR106" s="2" t="str">
        <f>TRIM(_xlfn.CONCAT(BI106," ",BJ106," ",BK106," ",BL106," ",BM106," ",BN106," ",BO106," ",BP106," ",BQ106))</f>
        <v>Club Leucante</v>
      </c>
      <c r="BS106" s="3">
        <v>5.8703703703703702E-2</v>
      </c>
      <c r="BT106" s="3"/>
      <c r="BU106" s="2">
        <v>2</v>
      </c>
    </row>
    <row r="107" spans="18:73" x14ac:dyDescent="0.6">
      <c r="R107" s="2">
        <v>104</v>
      </c>
      <c r="S107" s="2" t="s">
        <v>540</v>
      </c>
      <c r="T107" s="2" t="s">
        <v>541</v>
      </c>
      <c r="U107" s="2" t="s">
        <v>542</v>
      </c>
      <c r="V107" s="2">
        <v>2009</v>
      </c>
      <c r="W107" s="2" t="s">
        <v>2</v>
      </c>
      <c r="X107" s="2" t="s">
        <v>4</v>
      </c>
      <c r="Y107" s="2" t="s">
        <v>27</v>
      </c>
      <c r="Z107" s="2" t="s">
        <v>9</v>
      </c>
      <c r="AA107" s="2" t="s">
        <v>98</v>
      </c>
      <c r="AB107" s="2" t="s">
        <v>99</v>
      </c>
      <c r="AF107" s="2" t="str">
        <f>TRIM(_xlfn.CONCAT(W107," ",X107," ",Y107," ",Z107," ",AA107," ",AB107," ",AC107," ",AD107," ",AE107))</f>
        <v>Club Natación y Salvamento Oriol Imperial</v>
      </c>
      <c r="AG107" s="3">
        <v>0.10650462962962963</v>
      </c>
      <c r="AH107" s="3"/>
      <c r="BD107" s="2">
        <v>16</v>
      </c>
      <c r="BE107" s="2" t="s">
        <v>838</v>
      </c>
      <c r="BF107" s="2" t="s">
        <v>898</v>
      </c>
      <c r="BG107" s="2" t="s">
        <v>344</v>
      </c>
      <c r="BH107" s="2">
        <v>1966</v>
      </c>
      <c r="BI107" s="2" t="s">
        <v>4</v>
      </c>
      <c r="BJ107" s="2" t="s">
        <v>635</v>
      </c>
      <c r="BR107" s="2" t="str">
        <f>TRIM(_xlfn.CONCAT(BI107," ",BJ107," ",BK107," ",BL107," ",BM107," ",BN107," ",BO107," ",BP107," ",BQ107))</f>
        <v>Natación RACE</v>
      </c>
      <c r="BS107" s="3">
        <v>6.1053240740740741E-2</v>
      </c>
      <c r="BT107" s="3"/>
    </row>
    <row r="108" spans="18:73" x14ac:dyDescent="0.6">
      <c r="R108" s="2">
        <v>105</v>
      </c>
      <c r="S108" s="2" t="s">
        <v>543</v>
      </c>
      <c r="T108" s="2" t="s">
        <v>544</v>
      </c>
      <c r="U108" s="2" t="s">
        <v>337</v>
      </c>
      <c r="V108" s="2">
        <v>2008</v>
      </c>
      <c r="W108" s="2" t="s">
        <v>2</v>
      </c>
      <c r="X108" s="2" t="s">
        <v>4</v>
      </c>
      <c r="Y108" s="2" t="s">
        <v>43</v>
      </c>
      <c r="Z108" s="2" t="s">
        <v>153</v>
      </c>
      <c r="AF108" s="2" t="str">
        <f>TRIM(_xlfn.CONCAT(W108," ",X108," ",Y108," ",Z108," ",AA108," ",AB108," ",AC108," ",AD108," ",AE108))</f>
        <v>Club Natación SOS Bétera</v>
      </c>
      <c r="AG108" s="3">
        <v>0.10670138888888889</v>
      </c>
      <c r="AH108" s="3"/>
      <c r="BD108" s="2">
        <v>17</v>
      </c>
      <c r="BE108" s="2" t="s">
        <v>899</v>
      </c>
      <c r="BF108" s="2" t="s">
        <v>59</v>
      </c>
      <c r="BG108" s="2" t="s">
        <v>363</v>
      </c>
      <c r="BH108" s="2">
        <v>1966</v>
      </c>
      <c r="BI108" s="2" t="s">
        <v>4</v>
      </c>
      <c r="BJ108" s="2" t="s">
        <v>635</v>
      </c>
      <c r="BR108" s="2" t="str">
        <f>TRIM(_xlfn.CONCAT(BI108," ",BJ108," ",BK108," ",BL108," ",BM108," ",BN108," ",BO108," ",BP108," ",BQ108))</f>
        <v>Natación RACE</v>
      </c>
      <c r="BS108" s="3">
        <v>6.1655092592592595E-2</v>
      </c>
      <c r="BT108" s="3"/>
    </row>
    <row r="109" spans="18:73" x14ac:dyDescent="0.6">
      <c r="R109" s="2">
        <v>106</v>
      </c>
      <c r="S109" s="2" t="s">
        <v>270</v>
      </c>
      <c r="T109" s="2" t="s">
        <v>209</v>
      </c>
      <c r="U109" s="2" t="s">
        <v>436</v>
      </c>
      <c r="V109" s="2">
        <v>2008</v>
      </c>
      <c r="W109" s="2" t="s">
        <v>2</v>
      </c>
      <c r="X109" s="2" t="s">
        <v>93</v>
      </c>
      <c r="Y109" s="2" t="s">
        <v>63</v>
      </c>
      <c r="Z109" s="2" t="s">
        <v>167</v>
      </c>
      <c r="AA109" s="2" t="s">
        <v>168</v>
      </c>
      <c r="AF109" s="2" t="str">
        <f>TRIM(_xlfn.CONCAT(W109," ",X109," ",Y109," ",Z109," ",AA109," ",AB109," ",AC109," ",AD109," ",AE109))</f>
        <v>Club Playas de Castro Urdiales</v>
      </c>
      <c r="AG109" s="3">
        <v>0.10678240740740741</v>
      </c>
      <c r="AH109" s="3"/>
      <c r="BD109" s="2">
        <v>18</v>
      </c>
      <c r="BE109" s="2" t="s">
        <v>658</v>
      </c>
      <c r="BF109" s="2" t="s">
        <v>715</v>
      </c>
      <c r="BG109" s="2" t="s">
        <v>308</v>
      </c>
      <c r="BH109" s="2">
        <v>1966</v>
      </c>
      <c r="BI109" s="2" t="s">
        <v>171</v>
      </c>
      <c r="BJ109" s="2" t="s">
        <v>172</v>
      </c>
      <c r="BK109" s="2" t="s">
        <v>9</v>
      </c>
      <c r="BR109" s="2" t="str">
        <f>TRIM(_xlfn.CONCAT(BI109," ",BJ109," ",BK109," ",BL109," ",BM109," ",BN109," ",BO109," ",BP109," ",BQ109))</f>
        <v>C.D.E Pacífico Salvamento</v>
      </c>
      <c r="BS109" s="3">
        <v>6.3506944444444449E-2</v>
      </c>
      <c r="BT109" s="3"/>
    </row>
    <row r="110" spans="18:73" x14ac:dyDescent="0.6">
      <c r="R110" s="2">
        <v>107</v>
      </c>
      <c r="S110" s="2" t="s">
        <v>545</v>
      </c>
      <c r="T110" s="2" t="s">
        <v>149</v>
      </c>
      <c r="U110" s="2" t="s">
        <v>398</v>
      </c>
      <c r="V110" s="2">
        <v>2008</v>
      </c>
      <c r="W110" s="2" t="s">
        <v>2</v>
      </c>
      <c r="X110" s="2" t="s">
        <v>3</v>
      </c>
      <c r="Y110" s="2" t="s">
        <v>237</v>
      </c>
      <c r="Z110" s="2" t="s">
        <v>238</v>
      </c>
      <c r="AA110" s="2" t="s">
        <v>239</v>
      </c>
      <c r="AF110" s="2" t="str">
        <f>TRIM(_xlfn.CONCAT(W110," ",X110," ",Y110," ",Z110," ",AA110," ",AB110," ",AC110," ",AD110," ",AE110))</f>
        <v>Club Deportivo Unión Esgueva SOSVA</v>
      </c>
      <c r="AG110" s="3">
        <v>0.10759259259259259</v>
      </c>
      <c r="AH110" s="3"/>
      <c r="BD110" s="2">
        <v>19</v>
      </c>
      <c r="BE110" s="2" t="s">
        <v>839</v>
      </c>
      <c r="BF110" s="2" t="s">
        <v>840</v>
      </c>
      <c r="BG110" s="2" t="s">
        <v>900</v>
      </c>
      <c r="BH110" s="2">
        <v>1970</v>
      </c>
      <c r="BI110" s="2" t="s">
        <v>2</v>
      </c>
      <c r="BJ110" s="2" t="s">
        <v>3</v>
      </c>
      <c r="BK110" s="2" t="s">
        <v>535</v>
      </c>
      <c r="BL110" s="2" t="s">
        <v>63</v>
      </c>
      <c r="BM110" s="2" t="s">
        <v>536</v>
      </c>
      <c r="BR110" s="2" t="str">
        <f>TRIM(_xlfn.CONCAT(BI110," ",BJ110," ",BK110," ",BL110," ",BM110," ",BN110," ",BO110," ",BP110," ",BQ110))</f>
        <v>Club Deportivo Sirenas de Catarroja</v>
      </c>
      <c r="BS110" s="3">
        <v>6.6018518518518518E-2</v>
      </c>
      <c r="BT110" s="3"/>
    </row>
    <row r="111" spans="18:73" x14ac:dyDescent="0.6">
      <c r="R111" s="2">
        <v>108</v>
      </c>
      <c r="S111" s="2" t="s">
        <v>546</v>
      </c>
      <c r="T111" s="2" t="s">
        <v>547</v>
      </c>
      <c r="U111" s="2" t="s">
        <v>489</v>
      </c>
      <c r="V111" s="2">
        <v>2010</v>
      </c>
      <c r="W111" s="2" t="s">
        <v>2</v>
      </c>
      <c r="X111" s="2" t="s">
        <v>63</v>
      </c>
      <c r="Y111" s="2" t="s">
        <v>9</v>
      </c>
      <c r="Z111" s="2" t="s">
        <v>143</v>
      </c>
      <c r="AA111" s="2" t="s">
        <v>11</v>
      </c>
      <c r="AB111" s="2" t="s">
        <v>144</v>
      </c>
      <c r="AF111" s="2" t="str">
        <f>TRIM(_xlfn.CONCAT(W111," ",X111," ",Y111," ",Z111," ",AA111," ",AB111," ",AC111," ",AD111," ",AE111))</f>
        <v>Club de Salvamento SVAT - Tarancón</v>
      </c>
      <c r="AG111" s="3">
        <v>0.10768518518518519</v>
      </c>
      <c r="AH111" s="3"/>
      <c r="BD111" s="2">
        <v>20</v>
      </c>
      <c r="BE111" s="2" t="s">
        <v>841</v>
      </c>
      <c r="BF111" s="2" t="s">
        <v>842</v>
      </c>
      <c r="BG111" s="2" t="s">
        <v>901</v>
      </c>
      <c r="BH111" s="2">
        <v>1966</v>
      </c>
      <c r="BI111" s="2" t="s">
        <v>2</v>
      </c>
      <c r="BJ111" s="2" t="s">
        <v>4</v>
      </c>
      <c r="BK111" s="2" t="s">
        <v>585</v>
      </c>
      <c r="BL111" s="2" t="s">
        <v>586</v>
      </c>
      <c r="BM111" s="2" t="s">
        <v>587</v>
      </c>
      <c r="BR111" s="2" t="str">
        <f>TRIM(_xlfn.CONCAT(BI111," ",BJ111," ",BK111," ",BL111," ",BM111," ",BN111," ",BO111," ",BP111," ",BQ111))</f>
        <v>Club Natación Martiánez Coral Hotels</v>
      </c>
      <c r="BS111" s="3">
        <v>6.6111111111111107E-2</v>
      </c>
      <c r="BT111" s="3"/>
    </row>
    <row r="112" spans="18:73" x14ac:dyDescent="0.6">
      <c r="R112" s="2">
        <v>109</v>
      </c>
      <c r="S112" s="2" t="s">
        <v>133</v>
      </c>
      <c r="T112" s="2" t="s">
        <v>548</v>
      </c>
      <c r="U112" s="2" t="s">
        <v>505</v>
      </c>
      <c r="V112" s="2">
        <v>2010</v>
      </c>
      <c r="W112" s="2" t="s">
        <v>2</v>
      </c>
      <c r="X112" s="2" t="s">
        <v>3</v>
      </c>
      <c r="Y112" s="2" t="s">
        <v>535</v>
      </c>
      <c r="Z112" s="2" t="s">
        <v>63</v>
      </c>
      <c r="AA112" s="2" t="s">
        <v>536</v>
      </c>
      <c r="AF112" s="2" t="str">
        <f>TRIM(_xlfn.CONCAT(W112," ",X112," ",Y112," ",Z112," ",AA112," ",AB112," ",AC112," ",AD112," ",AE112))</f>
        <v>Club Deportivo Sirenas de Catarroja</v>
      </c>
      <c r="AG112" s="3">
        <v>0.11012731481481482</v>
      </c>
      <c r="AH112" s="3"/>
      <c r="BD112" s="2">
        <v>21</v>
      </c>
      <c r="BE112" s="2" t="s">
        <v>333</v>
      </c>
      <c r="BF112" s="2" t="s">
        <v>149</v>
      </c>
      <c r="BG112" s="2" t="s">
        <v>902</v>
      </c>
      <c r="BH112" s="2">
        <v>1970</v>
      </c>
      <c r="BI112" s="2" t="s">
        <v>2</v>
      </c>
      <c r="BJ112" s="2" t="s">
        <v>3</v>
      </c>
      <c r="BK112" s="2" t="s">
        <v>33</v>
      </c>
      <c r="BL112" s="2" t="s">
        <v>34</v>
      </c>
      <c r="BR112" s="2" t="str">
        <f>TRIM(_xlfn.CONCAT(BI112," ",BJ112," ",BK112," ",BL112," ",BM112," ",BN112," ",BO112," ",BP112," ",BQ112))</f>
        <v>Club Deportivo Oca S.O.S</v>
      </c>
      <c r="BS112" s="3">
        <v>6.7384259259259255E-2</v>
      </c>
      <c r="BT112" s="3"/>
    </row>
    <row r="113" spans="18:73" x14ac:dyDescent="0.6">
      <c r="R113" s="2">
        <v>110</v>
      </c>
      <c r="S113" s="2" t="s">
        <v>549</v>
      </c>
      <c r="T113" s="2" t="s">
        <v>550</v>
      </c>
      <c r="U113" s="2" t="s">
        <v>385</v>
      </c>
      <c r="V113" s="2">
        <v>2010</v>
      </c>
      <c r="W113" s="2" t="s">
        <v>2</v>
      </c>
      <c r="X113" s="2" t="s">
        <v>3</v>
      </c>
      <c r="Y113" s="2" t="s">
        <v>535</v>
      </c>
      <c r="Z113" s="2" t="s">
        <v>63</v>
      </c>
      <c r="AA113" s="2" t="s">
        <v>536</v>
      </c>
      <c r="AF113" s="2" t="str">
        <f>TRIM(_xlfn.CONCAT(W113," ",X113," ",Y113," ",Z113," ",AA113," ",AB113," ",AC113," ",AD113," ",AE113))</f>
        <v>Club Deportivo Sirenas de Catarroja</v>
      </c>
      <c r="AG113" s="3">
        <v>0.11081018518518519</v>
      </c>
      <c r="AH113" s="3"/>
      <c r="BD113" s="2">
        <v>22</v>
      </c>
      <c r="BE113" s="2" t="s">
        <v>843</v>
      </c>
      <c r="BF113" s="2" t="s">
        <v>592</v>
      </c>
      <c r="BG113" s="2" t="s">
        <v>514</v>
      </c>
      <c r="BH113" s="2">
        <v>1968</v>
      </c>
      <c r="BI113" s="2" t="s">
        <v>4</v>
      </c>
      <c r="BJ113" s="2" t="s">
        <v>635</v>
      </c>
      <c r="BR113" s="2" t="str">
        <f>TRIM(_xlfn.CONCAT(BI113," ",BJ113," ",BK113," ",BL113," ",BM113," ",BN113," ",BO113," ",BP113," ",BQ113))</f>
        <v>Natación RACE</v>
      </c>
      <c r="BS113" s="3">
        <v>7.0196759259259264E-2</v>
      </c>
      <c r="BT113" s="3"/>
    </row>
    <row r="114" spans="18:73" x14ac:dyDescent="0.6">
      <c r="R114" s="2">
        <v>111</v>
      </c>
      <c r="S114" s="2" t="s">
        <v>551</v>
      </c>
      <c r="T114" s="2" t="s">
        <v>149</v>
      </c>
      <c r="U114" s="2" t="s">
        <v>363</v>
      </c>
      <c r="V114" s="2">
        <v>2010</v>
      </c>
      <c r="W114" s="2" t="s">
        <v>41</v>
      </c>
      <c r="X114" s="2" t="s">
        <v>42</v>
      </c>
      <c r="Y114" s="2" t="s">
        <v>43</v>
      </c>
      <c r="Z114" s="2" t="s">
        <v>44</v>
      </c>
      <c r="AA114" s="2" t="s">
        <v>45</v>
      </c>
      <c r="AF114" s="2" t="str">
        <f>TRIM(_xlfn.CONCAT(W114," ",X114," ",Y114," ",Z114," ",AA114," ",AB114," ",AC114," ",AD114," ",AE114))</f>
        <v>C. D. SOS La Bañeza</v>
      </c>
      <c r="AG114" s="3">
        <v>0.11256944444444444</v>
      </c>
      <c r="AH114" s="3"/>
      <c r="BD114" s="2">
        <v>23</v>
      </c>
      <c r="BE114" s="2" t="s">
        <v>844</v>
      </c>
      <c r="BF114" s="2" t="s">
        <v>845</v>
      </c>
      <c r="BG114" s="2" t="s">
        <v>846</v>
      </c>
      <c r="BH114" s="2">
        <v>1967</v>
      </c>
      <c r="BI114" s="2" t="s">
        <v>4</v>
      </c>
      <c r="BJ114" s="2" t="s">
        <v>635</v>
      </c>
      <c r="BR114" s="2" t="str">
        <f>TRIM(_xlfn.CONCAT(BI114," ",BJ114," ",BK114," ",BL114," ",BM114," ",BN114," ",BO114," ",BP114," ",BQ114))</f>
        <v>Natación RACE</v>
      </c>
      <c r="BS114" s="3">
        <v>7.4444444444444438E-2</v>
      </c>
      <c r="BT114" s="3"/>
    </row>
    <row r="115" spans="18:73" x14ac:dyDescent="0.6">
      <c r="R115" s="2">
        <v>112</v>
      </c>
      <c r="S115" s="2" t="s">
        <v>552</v>
      </c>
      <c r="T115" s="2" t="s">
        <v>134</v>
      </c>
      <c r="U115" s="2" t="s">
        <v>457</v>
      </c>
      <c r="V115" s="2">
        <v>2007</v>
      </c>
      <c r="W115" s="2" t="s">
        <v>91</v>
      </c>
      <c r="X115" s="2" t="s">
        <v>92</v>
      </c>
      <c r="Y115" s="2" t="s">
        <v>93</v>
      </c>
      <c r="Z115" s="2" t="s">
        <v>63</v>
      </c>
      <c r="AA115" s="2" t="s">
        <v>94</v>
      </c>
      <c r="AF115" s="2" t="str">
        <f>TRIM(_xlfn.CONCAT(W115," ",X115," ",Y115," ",Z115," ",AA115," ",AB115," ",AC115," ",AD115," ",AE115))</f>
        <v>Sos Pielagos Playas de Cantabria</v>
      </c>
      <c r="AG115" s="3">
        <v>0.11898148148148148</v>
      </c>
      <c r="AH115" s="3"/>
      <c r="BD115" s="2">
        <v>24</v>
      </c>
      <c r="BE115" s="2" t="s">
        <v>270</v>
      </c>
      <c r="BF115" s="2" t="s">
        <v>186</v>
      </c>
      <c r="BG115" s="2" t="s">
        <v>903</v>
      </c>
      <c r="BH115" s="2">
        <v>1966</v>
      </c>
      <c r="BI115" s="2" t="s">
        <v>2</v>
      </c>
      <c r="BJ115" s="2" t="s">
        <v>3</v>
      </c>
      <c r="BK115" s="2" t="s">
        <v>33</v>
      </c>
      <c r="BL115" s="2" t="s">
        <v>34</v>
      </c>
      <c r="BR115" s="2" t="str">
        <f>TRIM(_xlfn.CONCAT(BI115," ",BJ115," ",BK115," ",BL115," ",BM115," ",BN115," ",BO115," ",BP115," ",BQ115))</f>
        <v>Club Deportivo Oca S.O.S</v>
      </c>
      <c r="BS115" s="3">
        <v>7.9490740740740737E-2</v>
      </c>
      <c r="BT115" s="3"/>
    </row>
    <row r="116" spans="18:73" x14ac:dyDescent="0.6">
      <c r="R116" s="2">
        <v>113</v>
      </c>
      <c r="S116" s="2" t="s">
        <v>553</v>
      </c>
      <c r="T116" s="2" t="s">
        <v>141</v>
      </c>
      <c r="U116" s="2" t="s">
        <v>499</v>
      </c>
      <c r="V116" s="2">
        <v>2006</v>
      </c>
      <c r="W116" s="2" t="s">
        <v>2</v>
      </c>
      <c r="X116" s="2" t="s">
        <v>4</v>
      </c>
      <c r="Y116" s="2" t="s">
        <v>27</v>
      </c>
      <c r="Z116" s="2" t="s">
        <v>9</v>
      </c>
      <c r="AA116" s="2" t="s">
        <v>98</v>
      </c>
      <c r="AB116" s="2" t="s">
        <v>99</v>
      </c>
      <c r="AF116" s="2" t="str">
        <f>TRIM(_xlfn.CONCAT(W116," ",X116," ",Y116," ",Z116," ",AA116," ",AB116," ",AC116," ",AD116," ",AE116))</f>
        <v>Club Natación y Salvamento Oriol Imperial</v>
      </c>
      <c r="AG116" s="3" t="s">
        <v>264</v>
      </c>
      <c r="AH116" s="3"/>
      <c r="BD116" s="2">
        <v>25</v>
      </c>
      <c r="BE116" s="2" t="s">
        <v>847</v>
      </c>
      <c r="BF116" s="2" t="s">
        <v>833</v>
      </c>
      <c r="BG116" s="2" t="s">
        <v>377</v>
      </c>
      <c r="BH116" s="2">
        <v>1967</v>
      </c>
      <c r="BI116" s="2" t="s">
        <v>2</v>
      </c>
      <c r="BJ116" s="2" t="s">
        <v>242</v>
      </c>
      <c r="BK116" s="2" t="s">
        <v>243</v>
      </c>
      <c r="BR116" s="2" t="str">
        <f>TRIM(_xlfn.CONCAT(BI116," ",BJ116," ",BK116," ",BL116," ",BM116," ",BN116," ",BO116," ",BP116," ",BQ116))</f>
        <v>Club Acuático Umia</v>
      </c>
      <c r="BS116" s="3" t="s">
        <v>264</v>
      </c>
      <c r="BT116" s="3"/>
    </row>
    <row r="117" spans="18:73" x14ac:dyDescent="0.6">
      <c r="R117" s="2">
        <v>114</v>
      </c>
      <c r="S117" s="2" t="s">
        <v>554</v>
      </c>
      <c r="T117" s="2" t="s">
        <v>555</v>
      </c>
      <c r="U117" s="2" t="s">
        <v>499</v>
      </c>
      <c r="V117" s="2">
        <v>2002</v>
      </c>
      <c r="W117" s="2" t="s">
        <v>2</v>
      </c>
      <c r="X117" s="2" t="s">
        <v>9</v>
      </c>
      <c r="Y117" s="2" t="s">
        <v>27</v>
      </c>
      <c r="Z117" s="2" t="s">
        <v>4</v>
      </c>
      <c r="AA117" s="2" t="s">
        <v>51</v>
      </c>
      <c r="AF117" s="2" t="str">
        <f>TRIM(_xlfn.CONCAT(W117," ",X117," ",Y117," ",Z117," ",AA117," ",AB117," ",AC117," ",AD117," ",AE117))</f>
        <v>Club Salvamento y Natación Silla</v>
      </c>
      <c r="AG117" s="3" t="s">
        <v>264</v>
      </c>
      <c r="AH117" s="3"/>
      <c r="BD117" s="2">
        <v>1</v>
      </c>
      <c r="BE117" s="2" t="s">
        <v>14</v>
      </c>
      <c r="BF117" s="2" t="s">
        <v>848</v>
      </c>
      <c r="BG117" s="2" t="s">
        <v>514</v>
      </c>
      <c r="BH117" s="2">
        <v>1962</v>
      </c>
      <c r="BI117" s="2" t="s">
        <v>2</v>
      </c>
      <c r="BJ117" s="2" t="s">
        <v>22</v>
      </c>
      <c r="BK117" s="2" t="s">
        <v>188</v>
      </c>
      <c r="BR117" s="2" t="str">
        <f>TRIM(_xlfn.CONCAT(BI117," ",BJ117," ",BK117," ",BL117," ",BM117," ",BN117," ",BO117," ",BP117," ",BQ117))</f>
        <v>Club Natació Salou</v>
      </c>
      <c r="BS117" s="3">
        <v>5.1307870370370372E-2</v>
      </c>
      <c r="BT117" s="3"/>
      <c r="BU117" s="2">
        <v>20</v>
      </c>
    </row>
    <row r="118" spans="18:73" x14ac:dyDescent="0.6">
      <c r="R118" s="2">
        <v>115</v>
      </c>
      <c r="S118" s="2" t="s">
        <v>556</v>
      </c>
      <c r="T118" s="2" t="s">
        <v>134</v>
      </c>
      <c r="U118" s="2" t="s">
        <v>486</v>
      </c>
      <c r="V118" s="2">
        <v>1992</v>
      </c>
      <c r="W118" s="2" t="s">
        <v>2</v>
      </c>
      <c r="X118" s="2" t="s">
        <v>9</v>
      </c>
      <c r="Y118" s="2" t="s">
        <v>27</v>
      </c>
      <c r="Z118" s="2" t="s">
        <v>4</v>
      </c>
      <c r="AA118" s="2" t="s">
        <v>51</v>
      </c>
      <c r="AF118" s="2" t="str">
        <f>TRIM(_xlfn.CONCAT(W118," ",X118," ",Y118," ",Z118," ",AA118," ",AB118," ",AC118," ",AD118," ",AE118))</f>
        <v>Club Salvamento y Natación Silla</v>
      </c>
      <c r="AG118" s="3" t="s">
        <v>264</v>
      </c>
      <c r="AH118" s="3"/>
      <c r="BD118" s="2">
        <v>2</v>
      </c>
      <c r="BE118" s="2" t="s">
        <v>904</v>
      </c>
      <c r="BF118" s="2" t="s">
        <v>471</v>
      </c>
      <c r="BG118" s="2" t="s">
        <v>896</v>
      </c>
      <c r="BH118" s="2">
        <v>1963</v>
      </c>
      <c r="BI118" s="2" t="s">
        <v>2</v>
      </c>
      <c r="BJ118" s="2" t="s">
        <v>108</v>
      </c>
      <c r="BK118" s="2" t="s">
        <v>109</v>
      </c>
      <c r="BR118" s="2" t="str">
        <f>TRIM(_xlfn.CONCAT(BI118," ",BJ118," ",BK118," ",BL118," ",BM118," ",BN118," ",BO118," ",BP118," ",BQ118))</f>
        <v>Club A.C.N. Marisma</v>
      </c>
      <c r="BS118" s="3">
        <v>5.513888888888889E-2</v>
      </c>
      <c r="BT118" s="3"/>
      <c r="BU118" s="2">
        <v>18</v>
      </c>
    </row>
    <row r="119" spans="18:73" x14ac:dyDescent="0.6">
      <c r="R119" s="2">
        <v>116</v>
      </c>
      <c r="S119" s="2" t="s">
        <v>31</v>
      </c>
      <c r="T119" s="2" t="s">
        <v>96</v>
      </c>
      <c r="U119" s="2" t="s">
        <v>363</v>
      </c>
      <c r="V119" s="2">
        <v>2008</v>
      </c>
      <c r="W119" s="2" t="s">
        <v>2</v>
      </c>
      <c r="X119" s="2" t="s">
        <v>4</v>
      </c>
      <c r="Y119" s="2" t="s">
        <v>55</v>
      </c>
      <c r="AF119" s="2" t="str">
        <f>TRIM(_xlfn.CONCAT(W119," ",X119," ",Y119," ",Z119," ",AA119," ",AB119," ",AC119," ",AD119," ",AE119))</f>
        <v>Club Natación Guadalajara</v>
      </c>
      <c r="AG119" s="3" t="s">
        <v>295</v>
      </c>
      <c r="AH119" s="3"/>
      <c r="BD119" s="2">
        <v>3</v>
      </c>
      <c r="BE119" s="2" t="s">
        <v>849</v>
      </c>
      <c r="BF119" s="2" t="s">
        <v>219</v>
      </c>
      <c r="BG119" s="2" t="s">
        <v>440</v>
      </c>
      <c r="BH119" s="2">
        <v>1963</v>
      </c>
      <c r="BI119" s="2" t="s">
        <v>41</v>
      </c>
      <c r="BJ119" s="2" t="s">
        <v>42</v>
      </c>
      <c r="BK119" s="2" t="s">
        <v>9</v>
      </c>
      <c r="BL119" s="2" t="s">
        <v>157</v>
      </c>
      <c r="BR119" s="2" t="str">
        <f>TRIM(_xlfn.CONCAT(BI119," ",BJ119," ",BK119," ",BL119," ",BM119," ",BN119," ",BO119," ",BP119," ",BQ119))</f>
        <v>C. D. Salvamento Dragones</v>
      </c>
      <c r="BS119" s="3">
        <v>5.7430555555555554E-2</v>
      </c>
      <c r="BT119" s="3"/>
      <c r="BU119" s="2">
        <v>16</v>
      </c>
    </row>
    <row r="120" spans="18:73" x14ac:dyDescent="0.6">
      <c r="BD120" s="2">
        <v>4</v>
      </c>
      <c r="BE120" s="2" t="s">
        <v>850</v>
      </c>
      <c r="BF120" s="2" t="s">
        <v>498</v>
      </c>
      <c r="BG120" s="2" t="s">
        <v>905</v>
      </c>
      <c r="BH120" s="2">
        <v>1964</v>
      </c>
      <c r="BI120" s="2" t="s">
        <v>2</v>
      </c>
      <c r="BJ120" s="2" t="s">
        <v>4</v>
      </c>
      <c r="BK120" s="2" t="s">
        <v>585</v>
      </c>
      <c r="BL120" s="2" t="s">
        <v>586</v>
      </c>
      <c r="BM120" s="2" t="s">
        <v>587</v>
      </c>
      <c r="BR120" s="2" t="str">
        <f>TRIM(_xlfn.CONCAT(BI120," ",BJ120," ",BK120," ",BL120," ",BM120," ",BN120," ",BO120," ",BP120," ",BQ120))</f>
        <v>Club Natación Martiánez Coral Hotels</v>
      </c>
      <c r="BS120" s="3">
        <v>5.7881944444444444E-2</v>
      </c>
      <c r="BT120" s="3"/>
      <c r="BU120" s="2">
        <v>14</v>
      </c>
    </row>
    <row r="121" spans="18:73" x14ac:dyDescent="0.6">
      <c r="BD121" s="2">
        <v>5</v>
      </c>
      <c r="BE121" s="2" t="s">
        <v>906</v>
      </c>
      <c r="BF121" s="2" t="s">
        <v>851</v>
      </c>
      <c r="BG121" s="2" t="s">
        <v>852</v>
      </c>
      <c r="BH121" s="2">
        <v>1961</v>
      </c>
      <c r="BI121" s="2" t="s">
        <v>4</v>
      </c>
      <c r="BJ121" s="2" t="s">
        <v>635</v>
      </c>
      <c r="BR121" s="2" t="str">
        <f>TRIM(_xlfn.CONCAT(BI121," ",BJ121," ",BK121," ",BL121," ",BM121," ",BN121," ",BO121," ",BP121," ",BQ121))</f>
        <v>Natación RACE</v>
      </c>
      <c r="BS121" s="3">
        <v>6.4282407407407413E-2</v>
      </c>
      <c r="BT121" s="3"/>
      <c r="BU121" s="2">
        <v>13</v>
      </c>
    </row>
    <row r="122" spans="18:73" x14ac:dyDescent="0.6">
      <c r="BD122" s="2">
        <v>6</v>
      </c>
      <c r="BE122" s="2" t="s">
        <v>853</v>
      </c>
      <c r="BF122" s="2" t="s">
        <v>64</v>
      </c>
      <c r="BG122" s="2" t="s">
        <v>907</v>
      </c>
      <c r="BH122" s="2">
        <v>1962</v>
      </c>
      <c r="BI122" s="2" t="s">
        <v>4</v>
      </c>
      <c r="BJ122" s="2" t="s">
        <v>635</v>
      </c>
      <c r="BR122" s="2" t="str">
        <f>TRIM(_xlfn.CONCAT(BI122," ",BJ122," ",BK122," ",BL122," ",BM122," ",BN122," ",BO122," ",BP122," ",BQ122))</f>
        <v>Natación RACE</v>
      </c>
      <c r="BS122" s="3">
        <v>6.3912037037037031E-2</v>
      </c>
      <c r="BT122" s="3"/>
      <c r="BU122" s="2">
        <v>12</v>
      </c>
    </row>
    <row r="123" spans="18:73" x14ac:dyDescent="0.6">
      <c r="BD123" s="2">
        <v>7</v>
      </c>
      <c r="BE123" s="2" t="s">
        <v>366</v>
      </c>
      <c r="BF123" s="2" t="s">
        <v>854</v>
      </c>
      <c r="BG123" s="2" t="s">
        <v>855</v>
      </c>
      <c r="BH123" s="2">
        <v>1962</v>
      </c>
      <c r="BI123" s="2" t="s">
        <v>4</v>
      </c>
      <c r="BJ123" s="2" t="s">
        <v>635</v>
      </c>
      <c r="BR123" s="2" t="str">
        <f>TRIM(_xlfn.CONCAT(BI123," ",BJ123," ",BK123," ",BL123," ",BM123," ",BN123," ",BO123," ",BP123," ",BQ123))</f>
        <v>Natación RACE</v>
      </c>
      <c r="BS123" s="3">
        <v>6.4120370370370369E-2</v>
      </c>
      <c r="BT123" s="3"/>
      <c r="BU123" s="2">
        <v>11</v>
      </c>
    </row>
    <row r="124" spans="18:73" x14ac:dyDescent="0.6">
      <c r="BD124" s="2">
        <v>8</v>
      </c>
      <c r="BE124" s="2" t="s">
        <v>141</v>
      </c>
      <c r="BF124" s="2" t="s">
        <v>856</v>
      </c>
      <c r="BG124" s="2" t="s">
        <v>857</v>
      </c>
      <c r="BH124" s="2">
        <v>1963</v>
      </c>
      <c r="BI124" s="2" t="s">
        <v>171</v>
      </c>
      <c r="BJ124" s="2" t="s">
        <v>172</v>
      </c>
      <c r="BK124" s="2" t="s">
        <v>9</v>
      </c>
      <c r="BR124" s="2" t="str">
        <f>TRIM(_xlfn.CONCAT(BI124," ",BJ124," ",BK124," ",BL124," ",BM124," ",BN124," ",BO124," ",BP124," ",BQ124))</f>
        <v>C.D.E Pacífico Salvamento</v>
      </c>
      <c r="BS124" s="3">
        <v>7.1770833333333339E-2</v>
      </c>
      <c r="BT124" s="3"/>
      <c r="BU124" s="2">
        <v>10</v>
      </c>
    </row>
    <row r="125" spans="18:73" x14ac:dyDescent="0.6">
      <c r="BD125" s="2">
        <v>9</v>
      </c>
      <c r="BE125" s="2" t="s">
        <v>728</v>
      </c>
      <c r="BF125" s="2" t="s">
        <v>52</v>
      </c>
      <c r="BG125" s="2" t="s">
        <v>724</v>
      </c>
      <c r="BH125" s="2">
        <v>1965</v>
      </c>
      <c r="BI125" s="2" t="s">
        <v>171</v>
      </c>
      <c r="BJ125" s="2" t="s">
        <v>172</v>
      </c>
      <c r="BK125" s="2" t="s">
        <v>9</v>
      </c>
      <c r="BR125" s="2" t="str">
        <f>TRIM(_xlfn.CONCAT(BI125," ",BJ125," ",BK125," ",BL125," ",BM125," ",BN125," ",BO125," ",BP125," ",BQ125))</f>
        <v>C.D.E Pacífico Salvamento</v>
      </c>
      <c r="BS125" s="3">
        <v>7.2673611111111105E-2</v>
      </c>
      <c r="BT125" s="3"/>
      <c r="BU125" s="2">
        <v>8</v>
      </c>
    </row>
    <row r="126" spans="18:73" x14ac:dyDescent="0.6">
      <c r="BD126" s="2">
        <v>10</v>
      </c>
      <c r="BE126" s="2" t="s">
        <v>176</v>
      </c>
      <c r="BF126" s="2" t="s">
        <v>71</v>
      </c>
      <c r="BG126" s="2" t="s">
        <v>908</v>
      </c>
      <c r="BH126" s="2">
        <v>1963</v>
      </c>
      <c r="BI126" s="2" t="s">
        <v>2</v>
      </c>
      <c r="BJ126" s="2" t="s">
        <v>3</v>
      </c>
      <c r="BK126" s="2" t="s">
        <v>33</v>
      </c>
      <c r="BL126" s="2" t="s">
        <v>34</v>
      </c>
      <c r="BR126" s="2" t="str">
        <f>TRIM(_xlfn.CONCAT(BI126," ",BJ126," ",BK126," ",BL126," ",BM126," ",BN126," ",BO126," ",BP126," ",BQ126))</f>
        <v>Club Deportivo Oca S.O.S</v>
      </c>
      <c r="BS126" s="3">
        <v>7.452546296296296E-2</v>
      </c>
      <c r="BT126" s="3"/>
      <c r="BU126" s="2">
        <v>7</v>
      </c>
    </row>
    <row r="127" spans="18:73" x14ac:dyDescent="0.6">
      <c r="BD127" s="2">
        <v>11</v>
      </c>
      <c r="BE127" s="2" t="s">
        <v>858</v>
      </c>
      <c r="BF127" s="2" t="s">
        <v>129</v>
      </c>
      <c r="BG127" s="2" t="s">
        <v>388</v>
      </c>
      <c r="BH127" s="2">
        <v>1965</v>
      </c>
      <c r="BI127" s="2" t="s">
        <v>171</v>
      </c>
      <c r="BJ127" s="2" t="s">
        <v>172</v>
      </c>
      <c r="BK127" s="2" t="s">
        <v>9</v>
      </c>
      <c r="BR127" s="2" t="str">
        <f>TRIM(_xlfn.CONCAT(BI127," ",BJ127," ",BK127," ",BL127," ",BM127," ",BN127," ",BO127," ",BP127," ",BQ127))</f>
        <v>C.D.E Pacífico Salvamento</v>
      </c>
      <c r="BS127" s="3">
        <v>7.6145833333333329E-2</v>
      </c>
      <c r="BT127" s="3"/>
      <c r="BU127" s="2">
        <v>6</v>
      </c>
    </row>
    <row r="128" spans="18:73" x14ac:dyDescent="0.6">
      <c r="BD128" s="2">
        <v>12</v>
      </c>
      <c r="BE128" s="2" t="s">
        <v>839</v>
      </c>
      <c r="BF128" s="2" t="s">
        <v>142</v>
      </c>
      <c r="BG128" s="2" t="s">
        <v>428</v>
      </c>
      <c r="BH128" s="2">
        <v>1965</v>
      </c>
      <c r="BI128" s="2" t="s">
        <v>2</v>
      </c>
      <c r="BJ128" s="2" t="s">
        <v>4</v>
      </c>
      <c r="BK128" s="2" t="s">
        <v>43</v>
      </c>
      <c r="BL128" s="2" t="s">
        <v>153</v>
      </c>
      <c r="BR128" s="2" t="str">
        <f>TRIM(_xlfn.CONCAT(BI128," ",BJ128," ",BK128," ",BL128," ",BM128," ",BN128," ",BO128," ",BP128," ",BQ128))</f>
        <v>Club Natación SOS Bétera</v>
      </c>
      <c r="BS128" s="3">
        <v>7.6342592592592587E-2</v>
      </c>
      <c r="BT128" s="3"/>
      <c r="BU128" s="2">
        <v>5</v>
      </c>
    </row>
    <row r="129" spans="56:73" x14ac:dyDescent="0.6">
      <c r="BD129" s="2">
        <v>13</v>
      </c>
      <c r="BE129" s="2" t="s">
        <v>257</v>
      </c>
      <c r="BF129" s="2" t="s">
        <v>174</v>
      </c>
      <c r="BG129" s="2" t="s">
        <v>859</v>
      </c>
      <c r="BH129" s="2">
        <v>1963</v>
      </c>
      <c r="BI129" s="2" t="s">
        <v>171</v>
      </c>
      <c r="BJ129" s="2" t="s">
        <v>172</v>
      </c>
      <c r="BK129" s="2" t="s">
        <v>9</v>
      </c>
      <c r="BR129" s="2" t="str">
        <f>TRIM(_xlfn.CONCAT(BI129," ",BJ129," ",BK129," ",BL129," ",BM129," ",BN129," ",BO129," ",BP129," ",BQ129))</f>
        <v>C.D.E Pacífico Salvamento</v>
      </c>
      <c r="BS129" s="3">
        <v>9.8993055555555556E-2</v>
      </c>
      <c r="BT129" s="3"/>
    </row>
    <row r="130" spans="56:73" x14ac:dyDescent="0.6">
      <c r="BD130" s="2">
        <v>1</v>
      </c>
      <c r="BE130" s="2" t="s">
        <v>130</v>
      </c>
      <c r="BF130" s="2" t="s">
        <v>860</v>
      </c>
      <c r="BG130" s="2" t="s">
        <v>421</v>
      </c>
      <c r="BH130" s="2">
        <v>1956</v>
      </c>
      <c r="BI130" s="2" t="s">
        <v>2</v>
      </c>
      <c r="BJ130" s="2" t="s">
        <v>210</v>
      </c>
      <c r="BR130" s="2" t="str">
        <f>TRIM(_xlfn.CONCAT(BI130," ",BJ130," ",BK130," ",BL130," ",BM130," ",BN130," ",BO130," ",BP130," ",BQ130))</f>
        <v>Club Leucante</v>
      </c>
      <c r="BS130" s="3">
        <v>5.7881944444444444E-2</v>
      </c>
      <c r="BT130" s="3"/>
      <c r="BU130" s="2">
        <v>20</v>
      </c>
    </row>
    <row r="131" spans="56:73" x14ac:dyDescent="0.6">
      <c r="BD131" s="2">
        <v>2</v>
      </c>
      <c r="BE131" s="2" t="s">
        <v>569</v>
      </c>
      <c r="BF131" s="2" t="s">
        <v>861</v>
      </c>
      <c r="BG131" s="2" t="s">
        <v>896</v>
      </c>
      <c r="BH131" s="2">
        <v>1959</v>
      </c>
      <c r="BI131" s="2" t="s">
        <v>572</v>
      </c>
      <c r="BJ131" s="2" t="s">
        <v>573</v>
      </c>
      <c r="BK131" s="2" t="s">
        <v>574</v>
      </c>
      <c r="BL131" s="2" t="s">
        <v>575</v>
      </c>
      <c r="BR131" s="2" t="str">
        <f>TRIM(_xlfn.CONCAT(BI131," ",BJ131," ",BK131," ",BL131," ",BM131," ",BN131," ",BO131," ",BP131," ",BQ131))</f>
        <v>Loredo Surf Life Saving</v>
      </c>
      <c r="BS131" s="3">
        <v>6.145833333333333E-2</v>
      </c>
      <c r="BT131" s="3"/>
      <c r="BU131" s="2">
        <v>18</v>
      </c>
    </row>
    <row r="132" spans="56:73" x14ac:dyDescent="0.6">
      <c r="BD132" s="2">
        <v>3</v>
      </c>
      <c r="BE132" s="2" t="s">
        <v>90</v>
      </c>
      <c r="BF132" s="2" t="s">
        <v>202</v>
      </c>
      <c r="BG132" s="2" t="s">
        <v>877</v>
      </c>
      <c r="BH132" s="2">
        <v>1960</v>
      </c>
      <c r="BI132" s="2" t="s">
        <v>2</v>
      </c>
      <c r="BJ132" s="2" t="s">
        <v>108</v>
      </c>
      <c r="BK132" s="2" t="s">
        <v>109</v>
      </c>
      <c r="BR132" s="2" t="str">
        <f>TRIM(_xlfn.CONCAT(BI132," ",BJ132," ",BK132," ",BL132," ",BM132," ",BN132," ",BO132," ",BP132," ",BQ132))</f>
        <v>Club A.C.N. Marisma</v>
      </c>
      <c r="BS132" s="3">
        <v>7.2939814814814818E-2</v>
      </c>
      <c r="BT132" s="3"/>
      <c r="BU132" s="2">
        <v>16</v>
      </c>
    </row>
    <row r="133" spans="56:73" x14ac:dyDescent="0.6">
      <c r="BD133" s="2">
        <v>4</v>
      </c>
      <c r="BE133" s="2" t="s">
        <v>862</v>
      </c>
      <c r="BF133" s="2" t="s">
        <v>89</v>
      </c>
      <c r="BG133" s="2" t="s">
        <v>863</v>
      </c>
      <c r="BH133" s="2">
        <v>1956</v>
      </c>
      <c r="BI133" s="2" t="s">
        <v>572</v>
      </c>
      <c r="BJ133" s="2" t="s">
        <v>573</v>
      </c>
      <c r="BK133" s="2" t="s">
        <v>574</v>
      </c>
      <c r="BL133" s="2" t="s">
        <v>575</v>
      </c>
      <c r="BR133" s="2" t="str">
        <f>TRIM(_xlfn.CONCAT(BI133," ",BJ133," ",BK133," ",BL133," ",BM133," ",BN133," ",BO133," ",BP133," ",BQ133))</f>
        <v>Loredo Surf Life Saving</v>
      </c>
      <c r="BS133" s="3">
        <v>7.5740740740740747E-2</v>
      </c>
      <c r="BT133" s="3"/>
      <c r="BU133" s="2">
        <v>14</v>
      </c>
    </row>
    <row r="134" spans="56:73" x14ac:dyDescent="0.6">
      <c r="BD134" s="2">
        <v>5</v>
      </c>
      <c r="BE134" s="2" t="s">
        <v>864</v>
      </c>
      <c r="BF134" s="2" t="s">
        <v>865</v>
      </c>
      <c r="BG134" s="2" t="s">
        <v>363</v>
      </c>
      <c r="BH134" s="2">
        <v>1959</v>
      </c>
      <c r="BI134" s="2" t="s">
        <v>4</v>
      </c>
      <c r="BJ134" s="2" t="s">
        <v>635</v>
      </c>
      <c r="BR134" s="2" t="str">
        <f>TRIM(_xlfn.CONCAT(BI134," ",BJ134," ",BK134," ",BL134," ",BM134," ",BN134," ",BO134," ",BP134," ",BQ134))</f>
        <v>Natación RACE</v>
      </c>
      <c r="BS134" s="3">
        <v>8.7407407407407406E-2</v>
      </c>
      <c r="BT134" s="3"/>
      <c r="BU134" s="2">
        <v>13</v>
      </c>
    </row>
    <row r="135" spans="56:73" x14ac:dyDescent="0.6">
      <c r="BD135" s="2">
        <v>6</v>
      </c>
      <c r="BE135" s="2" t="s">
        <v>351</v>
      </c>
      <c r="BF135" s="2" t="s">
        <v>866</v>
      </c>
      <c r="BG135" s="2" t="s">
        <v>909</v>
      </c>
      <c r="BH135" s="2">
        <v>1959</v>
      </c>
      <c r="BI135" s="2" t="s">
        <v>2</v>
      </c>
      <c r="BJ135" s="2" t="s">
        <v>3</v>
      </c>
      <c r="BK135" s="2" t="s">
        <v>33</v>
      </c>
      <c r="BL135" s="2" t="s">
        <v>34</v>
      </c>
      <c r="BR135" s="2" t="str">
        <f>TRIM(_xlfn.CONCAT(BI135," ",BJ135," ",BK135," ",BL135," ",BM135," ",BN135," ",BO135," ",BP135," ",BQ135))</f>
        <v>Club Deportivo Oca S.O.S</v>
      </c>
      <c r="BS135" s="3">
        <v>9.0775462962962961E-2</v>
      </c>
      <c r="BT135" s="3"/>
      <c r="BU135" s="2">
        <v>12</v>
      </c>
    </row>
    <row r="136" spans="56:73" x14ac:dyDescent="0.6">
      <c r="BD136" s="2">
        <v>1</v>
      </c>
      <c r="BE136" s="2" t="s">
        <v>867</v>
      </c>
      <c r="BF136" s="2" t="s">
        <v>868</v>
      </c>
      <c r="BG136" s="2" t="s">
        <v>531</v>
      </c>
      <c r="BH136" s="2">
        <v>1953</v>
      </c>
      <c r="BI136" s="2" t="s">
        <v>466</v>
      </c>
      <c r="BJ136" s="2" t="s">
        <v>467</v>
      </c>
      <c r="BK136" s="2" t="s">
        <v>34</v>
      </c>
      <c r="BR136" s="2" t="str">
        <f>TRIM(_xlfn.CONCAT(BI136," ",BJ136," ",BK136," ",BL136," ",BM136," ",BN136," ",BO136," ",BP136," ",BQ136))</f>
        <v>C.D.B. Vallecas S.O.S</v>
      </c>
      <c r="BS136" s="3">
        <v>5.903935185185185E-2</v>
      </c>
      <c r="BT136" s="3"/>
      <c r="BU136" s="2">
        <v>20</v>
      </c>
    </row>
    <row r="137" spans="56:73" x14ac:dyDescent="0.6">
      <c r="BD137" s="2">
        <v>2</v>
      </c>
      <c r="BE137" s="2" t="s">
        <v>869</v>
      </c>
      <c r="BF137" s="2" t="s">
        <v>133</v>
      </c>
      <c r="BG137" s="2" t="s">
        <v>369</v>
      </c>
      <c r="BH137" s="2">
        <v>1954</v>
      </c>
      <c r="BI137" s="2" t="s">
        <v>171</v>
      </c>
      <c r="BJ137" s="2" t="s">
        <v>172</v>
      </c>
      <c r="BK137" s="2" t="s">
        <v>9</v>
      </c>
      <c r="BR137" s="2" t="str">
        <f>TRIM(_xlfn.CONCAT(BI137," ",BJ137," ",BK137," ",BL137," ",BM137," ",BN137," ",BO137," ",BP137," ",BQ137))</f>
        <v>C.D.E Pacífico Salvamento</v>
      </c>
      <c r="BS137" s="3">
        <v>6.7476851851851857E-2</v>
      </c>
      <c r="BT137" s="3"/>
      <c r="BU137" s="2">
        <v>18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Femenino</vt:lpstr>
      <vt:lpstr>Masculino</vt:lpstr>
      <vt:lpstr>MásterF</vt:lpstr>
      <vt:lpstr>MásterM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Carpintero, Mariano</dc:creator>
  <cp:lastModifiedBy>Carpintero, Mariano</cp:lastModifiedBy>
  <dcterms:created xsi:type="dcterms:W3CDTF">2026-03-26T12:13:46Z</dcterms:created>
  <dcterms:modified xsi:type="dcterms:W3CDTF">2026-03-27T09:28:11Z</dcterms:modified>
</cp:coreProperties>
</file>